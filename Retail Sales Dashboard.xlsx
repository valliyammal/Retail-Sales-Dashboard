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drawings/drawing7.xml" ContentType="application/vnd.openxmlformats-officedocument.drawingml.chartshapes+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drawings/drawing10.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drawings/drawing11.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drawings/drawing12.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0.xml" ContentType="application/vnd.openxmlformats-officedocument.themeOverride+xml"/>
  <Override PartName="/xl/drawings/drawing1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Excel Projects\Retail Sales Dashboard\"/>
    </mc:Choice>
  </mc:AlternateContent>
  <xr:revisionPtr revIDLastSave="0" documentId="13_ncr:1_{4D6D5D17-FBF1-4892-ACDA-E1FB322849FF}" xr6:coauthVersionLast="47" xr6:coauthVersionMax="47" xr10:uidLastSave="{00000000-0000-0000-0000-000000000000}"/>
  <bookViews>
    <workbookView xWindow="-108" yWindow="-108" windowWidth="23256" windowHeight="12456" firstSheet="1" activeTab="4" xr2:uid="{00000000-000D-0000-FFFF-FFFF00000000}"/>
  </bookViews>
  <sheets>
    <sheet name="Sales Data" sheetId="2" r:id="rId1"/>
    <sheet name="Pivot Table" sheetId="4" r:id="rId2"/>
    <sheet name="Charts &amp; Slicers" sheetId="5" r:id="rId3"/>
    <sheet name="KPI_Summary" sheetId="3" r:id="rId4"/>
    <sheet name="Sales Dashboard" sheetId="6" r:id="rId5"/>
  </sheets>
  <definedNames>
    <definedName name="Slicer_Category">#N/A</definedName>
    <definedName name="Slicer_Channel">#N/A</definedName>
    <definedName name="Slicer_City">#N/A</definedName>
  </definedNames>
  <calcPr calcId="191029"/>
  <pivotCaches>
    <pivotCache cacheId="1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2" l="1"/>
  <c r="O11" i="2"/>
  <c r="O8" i="2"/>
  <c r="O5" i="2"/>
  <c r="M26" i="2"/>
  <c r="M23" i="2"/>
  <c r="M17" i="2"/>
  <c r="M11" i="2"/>
  <c r="M14" i="2"/>
  <c r="M8" i="2"/>
  <c r="M5" i="2"/>
  <c r="K29" i="2"/>
  <c r="K26" i="2"/>
  <c r="K23" i="2"/>
  <c r="K17" i="2"/>
  <c r="K20" i="2"/>
  <c r="K14" i="2"/>
  <c r="K11" i="2"/>
  <c r="K8" i="2"/>
  <c r="K5" i="2"/>
</calcChain>
</file>

<file path=xl/sharedStrings.xml><?xml version="1.0" encoding="utf-8"?>
<sst xmlns="http://schemas.openxmlformats.org/spreadsheetml/2006/main" count="359" uniqueCount="128">
  <si>
    <t>Date</t>
  </si>
  <si>
    <t>City</t>
  </si>
  <si>
    <t>Category</t>
  </si>
  <si>
    <t>Product</t>
  </si>
  <si>
    <t>Quantity</t>
  </si>
  <si>
    <t>Unit Price</t>
  </si>
  <si>
    <t>Sales</t>
  </si>
  <si>
    <t>Channel</t>
  </si>
  <si>
    <t>2026-01-03</t>
  </si>
  <si>
    <t>Chennai</t>
  </si>
  <si>
    <t>Electronics</t>
  </si>
  <si>
    <t>Laptop</t>
  </si>
  <si>
    <t>Online</t>
  </si>
  <si>
    <t>2026-01-05</t>
  </si>
  <si>
    <t>Bangalore</t>
  </si>
  <si>
    <t>Furniture</t>
  </si>
  <si>
    <t>Office Chair</t>
  </si>
  <si>
    <t>Store</t>
  </si>
  <si>
    <t>2026-01-07</t>
  </si>
  <si>
    <t>Hyderabad</t>
  </si>
  <si>
    <t>Headphones</t>
  </si>
  <si>
    <t>2026-01-09</t>
  </si>
  <si>
    <t>Clothing</t>
  </si>
  <si>
    <t>Jeans</t>
  </si>
  <si>
    <t>2026-01-11</t>
  </si>
  <si>
    <t>Mumbai</t>
  </si>
  <si>
    <t>Beauty</t>
  </si>
  <si>
    <t>Face Wash</t>
  </si>
  <si>
    <t>2026-01-13</t>
  </si>
  <si>
    <t>Delhi</t>
  </si>
  <si>
    <t>Smartphone</t>
  </si>
  <si>
    <t>2026-01-15</t>
  </si>
  <si>
    <t>Pune</t>
  </si>
  <si>
    <t>Study Table</t>
  </si>
  <si>
    <t>2026-01-17</t>
  </si>
  <si>
    <t>Kolkata</t>
  </si>
  <si>
    <t>T-Shirt</t>
  </si>
  <si>
    <t>2026-01-19</t>
  </si>
  <si>
    <t>Shampoo</t>
  </si>
  <si>
    <t>2026-01-21</t>
  </si>
  <si>
    <t>Keyboard</t>
  </si>
  <si>
    <t>2026-01-23</t>
  </si>
  <si>
    <t>Bookshelf</t>
  </si>
  <si>
    <t>2026-01-25</t>
  </si>
  <si>
    <t>Kurti</t>
  </si>
  <si>
    <t>2026-01-27</t>
  </si>
  <si>
    <t>Perfume</t>
  </si>
  <si>
    <t>2026-01-29</t>
  </si>
  <si>
    <t>Monitor</t>
  </si>
  <si>
    <t>2026-02-02</t>
  </si>
  <si>
    <t>Dining Chair</t>
  </si>
  <si>
    <t>2026-02-04</t>
  </si>
  <si>
    <t>Shirt</t>
  </si>
  <si>
    <t>2026-02-06</t>
  </si>
  <si>
    <t>Moisturizer</t>
  </si>
  <si>
    <t>2026-02-08</t>
  </si>
  <si>
    <t>Tablet</t>
  </si>
  <si>
    <t>2026-02-10</t>
  </si>
  <si>
    <t>Sofa</t>
  </si>
  <si>
    <t>2026-02-12</t>
  </si>
  <si>
    <t>Saree</t>
  </si>
  <si>
    <t>2026-02-14</t>
  </si>
  <si>
    <t>Mouse</t>
  </si>
  <si>
    <t>2026-02-16</t>
  </si>
  <si>
    <t>Lipstick</t>
  </si>
  <si>
    <t>2026-02-18</t>
  </si>
  <si>
    <t>Wardrobe</t>
  </si>
  <si>
    <t>2026-02-20</t>
  </si>
  <si>
    <t>Jacket</t>
  </si>
  <si>
    <t>2026-02-22</t>
  </si>
  <si>
    <t>Printer</t>
  </si>
  <si>
    <t>2026-02-24</t>
  </si>
  <si>
    <t>Face Cream</t>
  </si>
  <si>
    <t>2026-02-26</t>
  </si>
  <si>
    <t>2026-02-28</t>
  </si>
  <si>
    <t>2026-03-02</t>
  </si>
  <si>
    <t>Smartwatch</t>
  </si>
  <si>
    <t>2026-03-04</t>
  </si>
  <si>
    <t>Sunscreen</t>
  </si>
  <si>
    <t>2026-03-06</t>
  </si>
  <si>
    <t>2026-03-08</t>
  </si>
  <si>
    <t>2026-03-10</t>
  </si>
  <si>
    <t>2026-03-12</t>
  </si>
  <si>
    <t>2026-03-14</t>
  </si>
  <si>
    <t>2026-03-16</t>
  </si>
  <si>
    <t>2026-03-18</t>
  </si>
  <si>
    <t>2026-03-20</t>
  </si>
  <si>
    <t>2026-03-22</t>
  </si>
  <si>
    <t>2026-03-24</t>
  </si>
  <si>
    <t>2026-03-26</t>
  </si>
  <si>
    <t>2026-03-28</t>
  </si>
  <si>
    <t>2026-03-30</t>
  </si>
  <si>
    <t>2026-04-01</t>
  </si>
  <si>
    <t>2026-04-03</t>
  </si>
  <si>
    <t>2026-04-05</t>
  </si>
  <si>
    <t>2026-04-07</t>
  </si>
  <si>
    <t>2026-04-09</t>
  </si>
  <si>
    <t>2026-04-11</t>
  </si>
  <si>
    <t>2026-04-13</t>
  </si>
  <si>
    <t>KPI</t>
  </si>
  <si>
    <t>Value</t>
  </si>
  <si>
    <t>Total Sales</t>
  </si>
  <si>
    <t>Total Quantity</t>
  </si>
  <si>
    <t>Total Orders</t>
  </si>
  <si>
    <t>Average Order Value</t>
  </si>
  <si>
    <t>Average</t>
  </si>
  <si>
    <t>Highest Sales</t>
  </si>
  <si>
    <t>Lowest Sales</t>
  </si>
  <si>
    <t>Total Quantity Sold</t>
  </si>
  <si>
    <t>Product Entries</t>
  </si>
  <si>
    <t>Transaction Count</t>
  </si>
  <si>
    <t>Online Sales</t>
  </si>
  <si>
    <t>Store Sales</t>
  </si>
  <si>
    <t>Electronics Sales</t>
  </si>
  <si>
    <t>Furniture Sales</t>
  </si>
  <si>
    <t>Clothing Sales</t>
  </si>
  <si>
    <t>Beauty Sales</t>
  </si>
  <si>
    <t>Chennai Sales</t>
  </si>
  <si>
    <t xml:space="preserve">  Hyderabad Sales</t>
  </si>
  <si>
    <t>Mumbai Sales</t>
  </si>
  <si>
    <t>Delhi  Sales</t>
  </si>
  <si>
    <t>Pune Sales</t>
  </si>
  <si>
    <t>Kolkata Sales</t>
  </si>
  <si>
    <t>Bangalore   Sales</t>
  </si>
  <si>
    <t>City Sales Total</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</si>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</sst>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7" formatCode="&quot;₹&quot;\ #,##0"/>
  </numFmts>
  <fonts count="6" x14ac:knownFonts="1">
    <font>
      <sz val="11"/>
      <color theme="1"/>
      <name val="Calibri"/>
      <family val="2"/>
      <scheme val="minor"/>
    </font>
    <font>
      <b/>
      <sz val="11"/>
      <color theme="1"/>
      <name val="Calibri"/>
      <family val="2"/>
      <scheme val="minor"/>
    </font>
    <font>
      <b/>
      <sz val="11"/>
      <color rgb="FFFF0000"/>
      <name val="Calibri"/>
      <family val="2"/>
    </font>
    <font>
      <b/>
      <sz val="11"/>
      <color theme="7"/>
      <name val="Calibri"/>
      <family val="2"/>
      <scheme val="minor"/>
    </font>
    <font>
      <sz val="11"/>
      <color theme="7"/>
      <name val="Calibri"/>
      <family val="2"/>
    </font>
    <font>
      <b/>
      <sz val="1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9"/>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26">
    <xf numFmtId="0" fontId="0" fillId="0" borderId="0" xfId="0"/>
    <xf numFmtId="0" fontId="1" fillId="0" borderId="1" xfId="0" applyFont="1" applyBorder="1" applyAlignment="1">
      <alignment horizontal="center"/>
    </xf>
    <xf numFmtId="0" fontId="2" fillId="2" borderId="1" xfId="0" applyFont="1" applyFill="1" applyBorder="1" applyAlignment="1">
      <alignment vertical="top"/>
    </xf>
    <xf numFmtId="0" fontId="1" fillId="0" borderId="1" xfId="0" applyFont="1" applyBorder="1"/>
    <xf numFmtId="14" fontId="1" fillId="0" borderId="2" xfId="0" applyNumberFormat="1" applyFont="1" applyBorder="1" applyAlignment="1">
      <alignment horizontal="center"/>
    </xf>
    <xf numFmtId="0" fontId="1" fillId="0" borderId="3" xfId="0" applyFont="1" applyBorder="1" applyAlignment="1">
      <alignment horizontal="center"/>
    </xf>
    <xf numFmtId="14"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0" xfId="0" applyFont="1"/>
    <xf numFmtId="1" fontId="1" fillId="0" borderId="1" xfId="0" applyNumberFormat="1" applyFont="1" applyBorder="1" applyAlignment="1">
      <alignment horizontal="center"/>
    </xf>
    <xf numFmtId="1" fontId="1" fillId="0" borderId="8" xfId="0" applyNumberFormat="1" applyFont="1" applyBorder="1" applyAlignment="1">
      <alignment horizontal="center"/>
    </xf>
    <xf numFmtId="0" fontId="3" fillId="3" borderId="1" xfId="0" applyFont="1" applyFill="1" applyBorder="1" applyAlignment="1">
      <alignment horizontal="center"/>
    </xf>
    <xf numFmtId="167" fontId="1" fillId="0" borderId="1" xfId="0" applyNumberFormat="1" applyFont="1" applyBorder="1" applyAlignment="1">
      <alignment horizontal="center"/>
    </xf>
    <xf numFmtId="0" fontId="4" fillId="2" borderId="4" xfId="0" applyFont="1" applyFill="1" applyBorder="1" applyAlignment="1">
      <alignment horizontal="center" vertical="top"/>
    </xf>
    <xf numFmtId="0" fontId="4" fillId="2" borderId="5" xfId="0" applyFont="1" applyFill="1" applyBorder="1" applyAlignment="1">
      <alignment horizontal="center" vertical="top"/>
    </xf>
    <xf numFmtId="1" fontId="4" fillId="2" borderId="5" xfId="0" applyNumberFormat="1" applyFont="1" applyFill="1" applyBorder="1" applyAlignment="1">
      <alignment horizontal="center" vertical="top"/>
    </xf>
    <xf numFmtId="0" fontId="4" fillId="2" borderId="6" xfId="0" applyFont="1" applyFill="1" applyBorder="1" applyAlignment="1">
      <alignment horizontal="center" vertical="top"/>
    </xf>
    <xf numFmtId="167" fontId="1" fillId="0" borderId="8" xfId="0" applyNumberFormat="1" applyFont="1" applyBorder="1" applyAlignment="1">
      <alignment horizontal="center"/>
    </xf>
    <xf numFmtId="167" fontId="0" fillId="0" borderId="0" xfId="0" applyNumberFormat="1"/>
    <xf numFmtId="167" fontId="3" fillId="3" borderId="1" xfId="0" applyNumberFormat="1" applyFont="1" applyFill="1" applyBorder="1" applyAlignment="1">
      <alignment horizontal="center"/>
    </xf>
    <xf numFmtId="167" fontId="5" fillId="4" borderId="1" xfId="0"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6" fontId="0" fillId="0" borderId="0" xfId="0" applyNumberFormat="1"/>
  </cellXfs>
  <cellStyles count="1">
    <cellStyle name="Normal" xfId="0" builtinId="0"/>
  </cellStyles>
  <dxfs count="12">
    <dxf>
      <font>
        <b/>
        <i val="0"/>
        <strike val="0"/>
        <condense val="0"/>
        <extend val="0"/>
        <outline val="0"/>
        <shadow val="0"/>
        <u val="none"/>
        <vertAlign val="baseline"/>
        <sz val="11"/>
        <color theme="1"/>
        <name val="Calibri"/>
        <family val="2"/>
        <scheme val="minor"/>
      </font>
      <numFmt numFmtId="167" formatCode="&quot;₹&quot;\ #,##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top style="thin">
          <color auto="1"/>
        </top>
        <bottom style="thin">
          <color auto="1"/>
        </bottom>
      </border>
    </dxf>
    <dxf>
      <font>
        <b/>
        <i val="0"/>
        <strike val="0"/>
        <condense val="0"/>
        <extend val="0"/>
        <outline val="0"/>
        <shadow val="0"/>
        <u val="none"/>
        <vertAlign val="baseline"/>
        <sz val="11"/>
        <color theme="1"/>
        <name val="Calibri"/>
        <family val="2"/>
        <scheme val="minor"/>
      </font>
      <numFmt numFmtId="1" formatCode="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7"/>
        <name val="Calibri"/>
        <family val="2"/>
        <scheme val="none"/>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1.xml"/><Relationship Id="rId1" Type="http://schemas.microsoft.com/office/2011/relationships/chartStyle" Target="style11.xml"/><Relationship Id="rId4" Type="http://schemas.openxmlformats.org/officeDocument/2006/relationships/chartUserShapes" Target="../drawings/drawing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Dashboard.xlsx]Pivot Table!PivotTable3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multiLvlStrRef>
              <c:f>'Pivot Table'!$A$21:$A$41</c:f>
              <c:multiLvlStrCache>
                <c:ptCount val="13"/>
                <c:lvl>
                  <c:pt idx="0">
                    <c:v>Online</c:v>
                  </c:pt>
                  <c:pt idx="1">
                    <c:v>Store</c:v>
                  </c:pt>
                  <c:pt idx="2">
                    <c:v>Online</c:v>
                  </c:pt>
                  <c:pt idx="3">
                    <c:v>Store</c:v>
                  </c:pt>
                  <c:pt idx="4">
                    <c:v>Online</c:v>
                  </c:pt>
                  <c:pt idx="5">
                    <c:v>Store</c:v>
                  </c:pt>
                  <c:pt idx="6">
                    <c:v>Online</c:v>
                  </c:pt>
                  <c:pt idx="7">
                    <c:v>Store</c:v>
                  </c:pt>
                  <c:pt idx="8">
                    <c:v>Online</c:v>
                  </c:pt>
                  <c:pt idx="9">
                    <c:v>Online</c:v>
                  </c:pt>
                  <c:pt idx="10">
                    <c:v>Store</c:v>
                  </c:pt>
                  <c:pt idx="11">
                    <c:v>Online</c:v>
                  </c:pt>
                  <c:pt idx="12">
                    <c:v>Store</c:v>
                  </c:pt>
                </c:lvl>
                <c:lvl>
                  <c:pt idx="0">
                    <c:v>Bangalore</c:v>
                  </c:pt>
                  <c:pt idx="2">
                    <c:v>Chennai</c:v>
                  </c:pt>
                  <c:pt idx="4">
                    <c:v>Delhi</c:v>
                  </c:pt>
                  <c:pt idx="6">
                    <c:v>Hyderabad</c:v>
                  </c:pt>
                  <c:pt idx="8">
                    <c:v>Kolkata</c:v>
                  </c:pt>
                  <c:pt idx="9">
                    <c:v>Mumbai</c:v>
                  </c:pt>
                  <c:pt idx="11">
                    <c:v>Pune</c:v>
                  </c:pt>
                </c:lvl>
              </c:multiLvlStrCache>
            </c:multiLvlStrRef>
          </c:cat>
          <c:val>
            <c:numRef>
              <c:f>'Pivot Table'!$B$21:$B$41</c:f>
              <c:numCache>
                <c:formatCode>"₹"\ #,##0</c:formatCode>
                <c:ptCount val="13"/>
                <c:pt idx="0">
                  <c:v>198800</c:v>
                </c:pt>
                <c:pt idx="1">
                  <c:v>67450</c:v>
                </c:pt>
                <c:pt idx="2">
                  <c:v>159000</c:v>
                </c:pt>
                <c:pt idx="3">
                  <c:v>146000</c:v>
                </c:pt>
                <c:pt idx="4">
                  <c:v>162000</c:v>
                </c:pt>
                <c:pt idx="5">
                  <c:v>169550</c:v>
                </c:pt>
                <c:pt idx="6">
                  <c:v>115480</c:v>
                </c:pt>
                <c:pt idx="7">
                  <c:v>96140</c:v>
                </c:pt>
                <c:pt idx="8">
                  <c:v>15300</c:v>
                </c:pt>
                <c:pt idx="9">
                  <c:v>100180</c:v>
                </c:pt>
                <c:pt idx="10">
                  <c:v>80000</c:v>
                </c:pt>
                <c:pt idx="11">
                  <c:v>252700</c:v>
                </c:pt>
                <c:pt idx="12">
                  <c:v>40500</c:v>
                </c:pt>
              </c:numCache>
            </c:numRef>
          </c:val>
          <c:extLst>
            <c:ext xmlns:c16="http://schemas.microsoft.com/office/drawing/2014/chart" uri="{C3380CC4-5D6E-409C-BE32-E72D297353CC}">
              <c16:uniqueId val="{00000000-7007-48DB-A6F9-29A08268BB14}"/>
            </c:ext>
          </c:extLst>
        </c:ser>
        <c:dLbls>
          <c:showLegendKey val="0"/>
          <c:showVal val="0"/>
          <c:showCatName val="0"/>
          <c:showSerName val="0"/>
          <c:showPercent val="0"/>
          <c:showBubbleSize val="0"/>
        </c:dLbls>
        <c:gapWidth val="219"/>
        <c:overlap val="-27"/>
        <c:axId val="1303850832"/>
        <c:axId val="88151600"/>
      </c:barChart>
      <c:catAx>
        <c:axId val="130385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1600"/>
        <c:crosses val="autoZero"/>
        <c:auto val="1"/>
        <c:lblAlgn val="ctr"/>
        <c:lblOffset val="100"/>
        <c:noMultiLvlLbl val="0"/>
      </c:catAx>
      <c:valAx>
        <c:axId val="88151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5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3915135608048"/>
          <c:y val="0.17265419947506563"/>
          <c:w val="0.73833114610673667"/>
          <c:h val="0.55945907152230967"/>
        </c:manualLayout>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multiLvlStrRef>
              <c:f>'Pivot Table'!$A$21:$A$41</c:f>
              <c:multiLvlStrCache>
                <c:ptCount val="13"/>
                <c:lvl>
                  <c:pt idx="0">
                    <c:v>Online</c:v>
                  </c:pt>
                  <c:pt idx="1">
                    <c:v>Store</c:v>
                  </c:pt>
                  <c:pt idx="2">
                    <c:v>Online</c:v>
                  </c:pt>
                  <c:pt idx="3">
                    <c:v>Store</c:v>
                  </c:pt>
                  <c:pt idx="4">
                    <c:v>Online</c:v>
                  </c:pt>
                  <c:pt idx="5">
                    <c:v>Store</c:v>
                  </c:pt>
                  <c:pt idx="6">
                    <c:v>Online</c:v>
                  </c:pt>
                  <c:pt idx="7">
                    <c:v>Store</c:v>
                  </c:pt>
                  <c:pt idx="8">
                    <c:v>Online</c:v>
                  </c:pt>
                  <c:pt idx="9">
                    <c:v>Online</c:v>
                  </c:pt>
                  <c:pt idx="10">
                    <c:v>Store</c:v>
                  </c:pt>
                  <c:pt idx="11">
                    <c:v>Online</c:v>
                  </c:pt>
                  <c:pt idx="12">
                    <c:v>Store</c:v>
                  </c:pt>
                </c:lvl>
                <c:lvl>
                  <c:pt idx="0">
                    <c:v>Bangalore</c:v>
                  </c:pt>
                  <c:pt idx="2">
                    <c:v>Chennai</c:v>
                  </c:pt>
                  <c:pt idx="4">
                    <c:v>Delhi</c:v>
                  </c:pt>
                  <c:pt idx="6">
                    <c:v>Hyderabad</c:v>
                  </c:pt>
                  <c:pt idx="8">
                    <c:v>Kolkata</c:v>
                  </c:pt>
                  <c:pt idx="9">
                    <c:v>Mumbai</c:v>
                  </c:pt>
                  <c:pt idx="11">
                    <c:v>Pune</c:v>
                  </c:pt>
                </c:lvl>
              </c:multiLvlStrCache>
            </c:multiLvlStrRef>
          </c:cat>
          <c:val>
            <c:numRef>
              <c:f>'Pivot Table'!$B$21:$B$41</c:f>
              <c:numCache>
                <c:formatCode>"₹"\ #,##0</c:formatCode>
                <c:ptCount val="13"/>
                <c:pt idx="0">
                  <c:v>198800</c:v>
                </c:pt>
                <c:pt idx="1">
                  <c:v>67450</c:v>
                </c:pt>
                <c:pt idx="2">
                  <c:v>159000</c:v>
                </c:pt>
                <c:pt idx="3">
                  <c:v>146000</c:v>
                </c:pt>
                <c:pt idx="4">
                  <c:v>162000</c:v>
                </c:pt>
                <c:pt idx="5">
                  <c:v>169550</c:v>
                </c:pt>
                <c:pt idx="6">
                  <c:v>115480</c:v>
                </c:pt>
                <c:pt idx="7">
                  <c:v>96140</c:v>
                </c:pt>
                <c:pt idx="8">
                  <c:v>15300</c:v>
                </c:pt>
                <c:pt idx="9">
                  <c:v>100180</c:v>
                </c:pt>
                <c:pt idx="10">
                  <c:v>80000</c:v>
                </c:pt>
                <c:pt idx="11">
                  <c:v>252700</c:v>
                </c:pt>
                <c:pt idx="12">
                  <c:v>40500</c:v>
                </c:pt>
              </c:numCache>
            </c:numRef>
          </c:val>
          <c:extLst>
            <c:ext xmlns:c16="http://schemas.microsoft.com/office/drawing/2014/chart" uri="{C3380CC4-5D6E-409C-BE32-E72D297353CC}">
              <c16:uniqueId val="{00000001-34E8-44C2-9DBB-B3685742A0B1}"/>
            </c:ext>
          </c:extLst>
        </c:ser>
        <c:dLbls>
          <c:showLegendKey val="0"/>
          <c:showVal val="0"/>
          <c:showCatName val="0"/>
          <c:showSerName val="0"/>
          <c:showPercent val="0"/>
          <c:showBubbleSize val="0"/>
        </c:dLbls>
        <c:gapWidth val="219"/>
        <c:overlap val="-27"/>
        <c:axId val="1301297616"/>
        <c:axId val="1135252880"/>
      </c:barChart>
      <c:catAx>
        <c:axId val="130129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52880"/>
        <c:crosses val="autoZero"/>
        <c:auto val="1"/>
        <c:lblAlgn val="ctr"/>
        <c:lblOffset val="100"/>
        <c:noMultiLvlLbl val="0"/>
      </c:catAx>
      <c:valAx>
        <c:axId val="1135252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9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Beauty</c:v>
                </c:pt>
                <c:pt idx="1">
                  <c:v>Clothing</c:v>
                </c:pt>
                <c:pt idx="2">
                  <c:v>Electronics</c:v>
                </c:pt>
                <c:pt idx="3">
                  <c:v>Furniture</c:v>
                </c:pt>
              </c:strCache>
            </c:strRef>
          </c:cat>
          <c:val>
            <c:numRef>
              <c:f>'Pivot Table'!$B$4:$B$8</c:f>
              <c:numCache>
                <c:formatCode>"₹"\ #,##0</c:formatCode>
                <c:ptCount val="4"/>
                <c:pt idx="0">
                  <c:v>133750</c:v>
                </c:pt>
                <c:pt idx="1">
                  <c:v>208950</c:v>
                </c:pt>
                <c:pt idx="2">
                  <c:v>790000</c:v>
                </c:pt>
                <c:pt idx="3">
                  <c:v>470400</c:v>
                </c:pt>
              </c:numCache>
            </c:numRef>
          </c:val>
          <c:extLst>
            <c:ext xmlns:c16="http://schemas.microsoft.com/office/drawing/2014/chart" uri="{C3380CC4-5D6E-409C-BE32-E72D297353CC}">
              <c16:uniqueId val="{00000000-3DFA-4C68-BEF0-E3760C34DBB6}"/>
            </c:ext>
          </c:extLst>
        </c:ser>
        <c:dLbls>
          <c:showLegendKey val="0"/>
          <c:showVal val="0"/>
          <c:showCatName val="0"/>
          <c:showSerName val="0"/>
          <c:showPercent val="0"/>
          <c:showBubbleSize val="0"/>
        </c:dLbls>
        <c:gapWidth val="219"/>
        <c:overlap val="-27"/>
        <c:axId val="1026013616"/>
        <c:axId val="1135221200"/>
      </c:barChart>
      <c:catAx>
        <c:axId val="102601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21200"/>
        <c:crosses val="autoZero"/>
        <c:auto val="1"/>
        <c:lblAlgn val="ctr"/>
        <c:lblOffset val="100"/>
        <c:noMultiLvlLbl val="0"/>
      </c:catAx>
      <c:valAx>
        <c:axId val="1135221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01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613735783027"/>
          <c:y val="0.22624781277340328"/>
          <c:w val="0.70499781277340334"/>
          <c:h val="0.42133347914843977"/>
        </c:manualLayout>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cat>
            <c:strRef>
              <c:f>'Pivot Table'!$A$11:$A$18</c:f>
              <c:strCache>
                <c:ptCount val="7"/>
                <c:pt idx="0">
                  <c:v>Bangalore</c:v>
                </c:pt>
                <c:pt idx="1">
                  <c:v>Chennai</c:v>
                </c:pt>
                <c:pt idx="2">
                  <c:v>Delhi</c:v>
                </c:pt>
                <c:pt idx="3">
                  <c:v>Hyderabad</c:v>
                </c:pt>
                <c:pt idx="4">
                  <c:v>Kolkata</c:v>
                </c:pt>
                <c:pt idx="5">
                  <c:v>Mumbai</c:v>
                </c:pt>
                <c:pt idx="6">
                  <c:v>Pune</c:v>
                </c:pt>
              </c:strCache>
            </c:strRef>
          </c:cat>
          <c:val>
            <c:numRef>
              <c:f>'Pivot Table'!$B$11:$B$18</c:f>
              <c:numCache>
                <c:formatCode>"₹"\ #,##0</c:formatCode>
                <c:ptCount val="7"/>
                <c:pt idx="0">
                  <c:v>266250</c:v>
                </c:pt>
                <c:pt idx="1">
                  <c:v>305000</c:v>
                </c:pt>
                <c:pt idx="2">
                  <c:v>331550</c:v>
                </c:pt>
                <c:pt idx="3">
                  <c:v>211620</c:v>
                </c:pt>
                <c:pt idx="4">
                  <c:v>15300</c:v>
                </c:pt>
                <c:pt idx="5">
                  <c:v>180180</c:v>
                </c:pt>
                <c:pt idx="6">
                  <c:v>293200</c:v>
                </c:pt>
              </c:numCache>
            </c:numRef>
          </c:val>
          <c:extLst>
            <c:ext xmlns:c16="http://schemas.microsoft.com/office/drawing/2014/chart" uri="{C3380CC4-5D6E-409C-BE32-E72D297353CC}">
              <c16:uniqueId val="{00000000-ADB3-40E0-96FF-4EB3BBC30F56}"/>
            </c:ext>
          </c:extLst>
        </c:ser>
        <c:dLbls>
          <c:showLegendKey val="0"/>
          <c:showVal val="0"/>
          <c:showCatName val="0"/>
          <c:showSerName val="0"/>
          <c:showPercent val="0"/>
          <c:showBubbleSize val="0"/>
        </c:dLbls>
        <c:gapWidth val="219"/>
        <c:overlap val="-27"/>
        <c:axId val="1267516576"/>
        <c:axId val="1135253840"/>
      </c:barChart>
      <c:catAx>
        <c:axId val="126751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53840"/>
        <c:crosses val="autoZero"/>
        <c:auto val="1"/>
        <c:lblAlgn val="ctr"/>
        <c:lblOffset val="100"/>
        <c:noMultiLvlLbl val="0"/>
      </c:catAx>
      <c:valAx>
        <c:axId val="1135253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1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Table'!$B$43</c:f>
              <c:strCache>
                <c:ptCount val="1"/>
                <c:pt idx="0">
                  <c:v>Total</c:v>
                </c:pt>
              </c:strCache>
            </c:strRef>
          </c:tx>
          <c:spPr>
            <a:solidFill>
              <a:schemeClr val="accent1"/>
            </a:solidFill>
            <a:ln>
              <a:noFill/>
            </a:ln>
            <a:effectLst/>
          </c:spPr>
          <c:invertIfNegative val="0"/>
          <c:cat>
            <c:strRef>
              <c:f>'Pivot Table'!$A$44:$A$46</c:f>
              <c:strCache>
                <c:ptCount val="2"/>
                <c:pt idx="0">
                  <c:v>Online</c:v>
                </c:pt>
                <c:pt idx="1">
                  <c:v>Store</c:v>
                </c:pt>
              </c:strCache>
            </c:strRef>
          </c:cat>
          <c:val>
            <c:numRef>
              <c:f>'Pivot Table'!$B$44:$B$46</c:f>
              <c:numCache>
                <c:formatCode>"₹"\ #,##0</c:formatCode>
                <c:ptCount val="2"/>
                <c:pt idx="0">
                  <c:v>1003460</c:v>
                </c:pt>
                <c:pt idx="1">
                  <c:v>599640</c:v>
                </c:pt>
              </c:numCache>
            </c:numRef>
          </c:val>
          <c:extLst>
            <c:ext xmlns:c16="http://schemas.microsoft.com/office/drawing/2014/chart" uri="{C3380CC4-5D6E-409C-BE32-E72D297353CC}">
              <c16:uniqueId val="{00000000-C813-44BE-907B-05AE9146E92E}"/>
            </c:ext>
          </c:extLst>
        </c:ser>
        <c:dLbls>
          <c:showLegendKey val="0"/>
          <c:showVal val="0"/>
          <c:showCatName val="0"/>
          <c:showSerName val="0"/>
          <c:showPercent val="0"/>
          <c:showBubbleSize val="0"/>
        </c:dLbls>
        <c:gapWidth val="219"/>
        <c:overlap val="-27"/>
        <c:axId val="1359532032"/>
        <c:axId val="1135221680"/>
      </c:barChart>
      <c:catAx>
        <c:axId val="135953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21680"/>
        <c:crosses val="autoZero"/>
        <c:auto val="1"/>
        <c:lblAlgn val="ctr"/>
        <c:lblOffset val="100"/>
        <c:noMultiLvlLbl val="0"/>
      </c:catAx>
      <c:valAx>
        <c:axId val="1135221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3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solidFill>
              <a:schemeClr val="accent1"/>
            </a:solidFill>
            <a:ln>
              <a:noFill/>
            </a:ln>
            <a:effectLst/>
          </c:spPr>
          <c:invertIfNegative val="0"/>
          <c:cat>
            <c:strRef>
              <c:f>'Pivot Table'!$A$49:$A$77</c:f>
              <c:strCache>
                <c:ptCount val="28"/>
                <c:pt idx="0">
                  <c:v>Bookshelf</c:v>
                </c:pt>
                <c:pt idx="1">
                  <c:v>Dining Chair</c:v>
                </c:pt>
                <c:pt idx="2">
                  <c:v>Face Cream</c:v>
                </c:pt>
                <c:pt idx="3">
                  <c:v>Face Wash</c:v>
                </c:pt>
                <c:pt idx="4">
                  <c:v>Headphones</c:v>
                </c:pt>
                <c:pt idx="5">
                  <c:v>Jacket</c:v>
                </c:pt>
                <c:pt idx="6">
                  <c:v>Jeans</c:v>
                </c:pt>
                <c:pt idx="7">
                  <c:v>Keyboard</c:v>
                </c:pt>
                <c:pt idx="8">
                  <c:v>Kurti</c:v>
                </c:pt>
                <c:pt idx="9">
                  <c:v>Laptop</c:v>
                </c:pt>
                <c:pt idx="10">
                  <c:v>Lipstick</c:v>
                </c:pt>
                <c:pt idx="11">
                  <c:v>Moisturizer</c:v>
                </c:pt>
                <c:pt idx="12">
                  <c:v>Monitor</c:v>
                </c:pt>
                <c:pt idx="13">
                  <c:v>Mouse</c:v>
                </c:pt>
                <c:pt idx="14">
                  <c:v>Office Chair</c:v>
                </c:pt>
                <c:pt idx="15">
                  <c:v>Perfume</c:v>
                </c:pt>
                <c:pt idx="16">
                  <c:v>Printer</c:v>
                </c:pt>
                <c:pt idx="17">
                  <c:v>Saree</c:v>
                </c:pt>
                <c:pt idx="18">
                  <c:v>Shampoo</c:v>
                </c:pt>
                <c:pt idx="19">
                  <c:v>Shirt</c:v>
                </c:pt>
                <c:pt idx="20">
                  <c:v>Smartphone</c:v>
                </c:pt>
                <c:pt idx="21">
                  <c:v>Smartwatch</c:v>
                </c:pt>
                <c:pt idx="22">
                  <c:v>Sofa</c:v>
                </c:pt>
                <c:pt idx="23">
                  <c:v>Study Table</c:v>
                </c:pt>
                <c:pt idx="24">
                  <c:v>Sunscreen</c:v>
                </c:pt>
                <c:pt idx="25">
                  <c:v>Tablet</c:v>
                </c:pt>
                <c:pt idx="26">
                  <c:v>T-Shirt</c:v>
                </c:pt>
                <c:pt idx="27">
                  <c:v>Wardrobe</c:v>
                </c:pt>
              </c:strCache>
            </c:strRef>
          </c:cat>
          <c:val>
            <c:numRef>
              <c:f>'Pivot Table'!$B$49:$B$77</c:f>
              <c:numCache>
                <c:formatCode>"₹"\ #,##0</c:formatCode>
                <c:ptCount val="28"/>
                <c:pt idx="0">
                  <c:v>55800</c:v>
                </c:pt>
                <c:pt idx="1">
                  <c:v>57600</c:v>
                </c:pt>
                <c:pt idx="2">
                  <c:v>13500</c:v>
                </c:pt>
                <c:pt idx="3">
                  <c:v>19800</c:v>
                </c:pt>
                <c:pt idx="4">
                  <c:v>44000</c:v>
                </c:pt>
                <c:pt idx="5">
                  <c:v>30800</c:v>
                </c:pt>
                <c:pt idx="6">
                  <c:v>37800</c:v>
                </c:pt>
                <c:pt idx="7">
                  <c:v>40000</c:v>
                </c:pt>
                <c:pt idx="8">
                  <c:v>30450</c:v>
                </c:pt>
                <c:pt idx="9">
                  <c:v>165000</c:v>
                </c:pt>
                <c:pt idx="10">
                  <c:v>13750</c:v>
                </c:pt>
                <c:pt idx="11">
                  <c:v>24480</c:v>
                </c:pt>
                <c:pt idx="12">
                  <c:v>130500</c:v>
                </c:pt>
                <c:pt idx="13">
                  <c:v>18000</c:v>
                </c:pt>
                <c:pt idx="14">
                  <c:v>90000</c:v>
                </c:pt>
                <c:pt idx="15">
                  <c:v>31500</c:v>
                </c:pt>
                <c:pt idx="16">
                  <c:v>87500</c:v>
                </c:pt>
                <c:pt idx="17">
                  <c:v>41600</c:v>
                </c:pt>
                <c:pt idx="18">
                  <c:v>19240</c:v>
                </c:pt>
                <c:pt idx="19">
                  <c:v>36000</c:v>
                </c:pt>
                <c:pt idx="20">
                  <c:v>112000</c:v>
                </c:pt>
                <c:pt idx="21">
                  <c:v>39000</c:v>
                </c:pt>
                <c:pt idx="22">
                  <c:v>84000</c:v>
                </c:pt>
                <c:pt idx="23">
                  <c:v>63000</c:v>
                </c:pt>
                <c:pt idx="24">
                  <c:v>11480</c:v>
                </c:pt>
                <c:pt idx="25">
                  <c:v>154000</c:v>
                </c:pt>
                <c:pt idx="26">
                  <c:v>32300</c:v>
                </c:pt>
                <c:pt idx="27">
                  <c:v>120000</c:v>
                </c:pt>
              </c:numCache>
            </c:numRef>
          </c:val>
          <c:extLst>
            <c:ext xmlns:c16="http://schemas.microsoft.com/office/drawing/2014/chart" uri="{C3380CC4-5D6E-409C-BE32-E72D297353CC}">
              <c16:uniqueId val="{00000000-A680-4077-BFF3-9C1478576328}"/>
            </c:ext>
          </c:extLst>
        </c:ser>
        <c:dLbls>
          <c:showLegendKey val="0"/>
          <c:showVal val="0"/>
          <c:showCatName val="0"/>
          <c:showSerName val="0"/>
          <c:showPercent val="0"/>
          <c:showBubbleSize val="0"/>
        </c:dLbls>
        <c:gapWidth val="182"/>
        <c:axId val="1298477168"/>
        <c:axId val="1135220240"/>
      </c:barChart>
      <c:catAx>
        <c:axId val="129847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20240"/>
        <c:crosses val="autoZero"/>
        <c:auto val="1"/>
        <c:lblAlgn val="ctr"/>
        <c:lblOffset val="100"/>
        <c:noMultiLvlLbl val="0"/>
      </c:catAx>
      <c:valAx>
        <c:axId val="11352202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7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Beauty</c:v>
                </c:pt>
                <c:pt idx="1">
                  <c:v>Clothing</c:v>
                </c:pt>
                <c:pt idx="2">
                  <c:v>Electronics</c:v>
                </c:pt>
                <c:pt idx="3">
                  <c:v>Furniture</c:v>
                </c:pt>
              </c:strCache>
            </c:strRef>
          </c:cat>
          <c:val>
            <c:numRef>
              <c:f>'Pivot Table'!$B$4:$B$8</c:f>
              <c:numCache>
                <c:formatCode>"₹"\ #,##0</c:formatCode>
                <c:ptCount val="4"/>
                <c:pt idx="0">
                  <c:v>133750</c:v>
                </c:pt>
                <c:pt idx="1">
                  <c:v>208950</c:v>
                </c:pt>
                <c:pt idx="2">
                  <c:v>790000</c:v>
                </c:pt>
                <c:pt idx="3">
                  <c:v>470400</c:v>
                </c:pt>
              </c:numCache>
            </c:numRef>
          </c:val>
          <c:extLst>
            <c:ext xmlns:c16="http://schemas.microsoft.com/office/drawing/2014/chart" uri="{C3380CC4-5D6E-409C-BE32-E72D297353CC}">
              <c16:uniqueId val="{00000000-6FEA-46ED-83F2-00E915BE8C05}"/>
            </c:ext>
          </c:extLst>
        </c:ser>
        <c:dLbls>
          <c:showLegendKey val="0"/>
          <c:showVal val="0"/>
          <c:showCatName val="0"/>
          <c:showSerName val="0"/>
          <c:showPercent val="0"/>
          <c:showBubbleSize val="0"/>
        </c:dLbls>
        <c:gapWidth val="219"/>
        <c:overlap val="-27"/>
        <c:axId val="1026013616"/>
        <c:axId val="1135221200"/>
      </c:barChart>
      <c:catAx>
        <c:axId val="102601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21200"/>
        <c:crosses val="autoZero"/>
        <c:auto val="1"/>
        <c:lblAlgn val="ctr"/>
        <c:lblOffset val="100"/>
        <c:noMultiLvlLbl val="0"/>
      </c:catAx>
      <c:valAx>
        <c:axId val="1135221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01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Table!PivotTable2</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613735783027"/>
          <c:y val="0.22624781277340328"/>
          <c:w val="0.70499781277340334"/>
          <c:h val="0.42133347914843977"/>
        </c:manualLayout>
      </c:layout>
      <c:barChart>
        <c:barDir val="col"/>
        <c:grouping val="clustered"/>
        <c:varyColors val="0"/>
        <c:ser>
          <c:idx val="0"/>
          <c:order val="0"/>
          <c:tx>
            <c:strRef>
              <c:f>'Pivot Table'!$B$10</c:f>
              <c:strCache>
                <c:ptCount val="1"/>
                <c:pt idx="0">
                  <c:v>Total</c:v>
                </c:pt>
              </c:strCache>
            </c:strRef>
          </c:tx>
          <c:spPr>
            <a:solidFill>
              <a:schemeClr val="accent1"/>
            </a:solidFill>
            <a:ln>
              <a:noFill/>
            </a:ln>
            <a:effectLst/>
          </c:spPr>
          <c:invertIfNegative val="0"/>
          <c:cat>
            <c:strRef>
              <c:f>'Pivot Table'!$A$11:$A$18</c:f>
              <c:strCache>
                <c:ptCount val="7"/>
                <c:pt idx="0">
                  <c:v>Bangalore</c:v>
                </c:pt>
                <c:pt idx="1">
                  <c:v>Chennai</c:v>
                </c:pt>
                <c:pt idx="2">
                  <c:v>Delhi</c:v>
                </c:pt>
                <c:pt idx="3">
                  <c:v>Hyderabad</c:v>
                </c:pt>
                <c:pt idx="4">
                  <c:v>Kolkata</c:v>
                </c:pt>
                <c:pt idx="5">
                  <c:v>Mumbai</c:v>
                </c:pt>
                <c:pt idx="6">
                  <c:v>Pune</c:v>
                </c:pt>
              </c:strCache>
            </c:strRef>
          </c:cat>
          <c:val>
            <c:numRef>
              <c:f>'Pivot Table'!$B$11:$B$18</c:f>
              <c:numCache>
                <c:formatCode>"₹"\ #,##0</c:formatCode>
                <c:ptCount val="7"/>
                <c:pt idx="0">
                  <c:v>266250</c:v>
                </c:pt>
                <c:pt idx="1">
                  <c:v>305000</c:v>
                </c:pt>
                <c:pt idx="2">
                  <c:v>331550</c:v>
                </c:pt>
                <c:pt idx="3">
                  <c:v>211620</c:v>
                </c:pt>
                <c:pt idx="4">
                  <c:v>15300</c:v>
                </c:pt>
                <c:pt idx="5">
                  <c:v>180180</c:v>
                </c:pt>
                <c:pt idx="6">
                  <c:v>293200</c:v>
                </c:pt>
              </c:numCache>
            </c:numRef>
          </c:val>
          <c:extLst>
            <c:ext xmlns:c16="http://schemas.microsoft.com/office/drawing/2014/chart" uri="{C3380CC4-5D6E-409C-BE32-E72D297353CC}">
              <c16:uniqueId val="{00000000-7026-4A26-B9DE-268D3BF08019}"/>
            </c:ext>
          </c:extLst>
        </c:ser>
        <c:dLbls>
          <c:showLegendKey val="0"/>
          <c:showVal val="0"/>
          <c:showCatName val="0"/>
          <c:showSerName val="0"/>
          <c:showPercent val="0"/>
          <c:showBubbleSize val="0"/>
        </c:dLbls>
        <c:gapWidth val="219"/>
        <c:overlap val="-27"/>
        <c:axId val="1267516576"/>
        <c:axId val="1135253840"/>
      </c:barChart>
      <c:catAx>
        <c:axId val="126751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53840"/>
        <c:crosses val="autoZero"/>
        <c:auto val="1"/>
        <c:lblAlgn val="ctr"/>
        <c:lblOffset val="100"/>
        <c:noMultiLvlLbl val="0"/>
      </c:catAx>
      <c:valAx>
        <c:axId val="1135253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Table'!$B$43</c:f>
              <c:strCache>
                <c:ptCount val="1"/>
                <c:pt idx="0">
                  <c:v>Total</c:v>
                </c:pt>
              </c:strCache>
            </c:strRef>
          </c:tx>
          <c:spPr>
            <a:solidFill>
              <a:schemeClr val="accent1"/>
            </a:solidFill>
            <a:ln>
              <a:noFill/>
            </a:ln>
            <a:effectLst/>
          </c:spPr>
          <c:invertIfNegative val="0"/>
          <c:cat>
            <c:strRef>
              <c:f>'Pivot Table'!$A$44:$A$46</c:f>
              <c:strCache>
                <c:ptCount val="2"/>
                <c:pt idx="0">
                  <c:v>Online</c:v>
                </c:pt>
                <c:pt idx="1">
                  <c:v>Store</c:v>
                </c:pt>
              </c:strCache>
            </c:strRef>
          </c:cat>
          <c:val>
            <c:numRef>
              <c:f>'Pivot Table'!$B$44:$B$46</c:f>
              <c:numCache>
                <c:formatCode>"₹"\ #,##0</c:formatCode>
                <c:ptCount val="2"/>
                <c:pt idx="0">
                  <c:v>1003460</c:v>
                </c:pt>
                <c:pt idx="1">
                  <c:v>599640</c:v>
                </c:pt>
              </c:numCache>
            </c:numRef>
          </c:val>
          <c:extLst>
            <c:ext xmlns:c16="http://schemas.microsoft.com/office/drawing/2014/chart" uri="{C3380CC4-5D6E-409C-BE32-E72D297353CC}">
              <c16:uniqueId val="{00000000-A1CB-422A-A9EA-17E08E132943}"/>
            </c:ext>
          </c:extLst>
        </c:ser>
        <c:dLbls>
          <c:showLegendKey val="0"/>
          <c:showVal val="0"/>
          <c:showCatName val="0"/>
          <c:showSerName val="0"/>
          <c:showPercent val="0"/>
          <c:showBubbleSize val="0"/>
        </c:dLbls>
        <c:gapWidth val="219"/>
        <c:overlap val="-27"/>
        <c:axId val="1359532032"/>
        <c:axId val="1135221680"/>
      </c:barChart>
      <c:catAx>
        <c:axId val="135953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21680"/>
        <c:crosses val="autoZero"/>
        <c:auto val="1"/>
        <c:lblAlgn val="ctr"/>
        <c:lblOffset val="100"/>
        <c:noMultiLvlLbl val="0"/>
      </c:catAx>
      <c:valAx>
        <c:axId val="1135221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3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solidFill>
              <a:schemeClr val="accent1"/>
            </a:solidFill>
            <a:ln>
              <a:noFill/>
            </a:ln>
            <a:effectLst/>
          </c:spPr>
          <c:invertIfNegative val="0"/>
          <c:cat>
            <c:strRef>
              <c:f>'Pivot Table'!$A$49:$A$77</c:f>
              <c:strCache>
                <c:ptCount val="28"/>
                <c:pt idx="0">
                  <c:v>Bookshelf</c:v>
                </c:pt>
                <c:pt idx="1">
                  <c:v>Dining Chair</c:v>
                </c:pt>
                <c:pt idx="2">
                  <c:v>Face Cream</c:v>
                </c:pt>
                <c:pt idx="3">
                  <c:v>Face Wash</c:v>
                </c:pt>
                <c:pt idx="4">
                  <c:v>Headphones</c:v>
                </c:pt>
                <c:pt idx="5">
                  <c:v>Jacket</c:v>
                </c:pt>
                <c:pt idx="6">
                  <c:v>Jeans</c:v>
                </c:pt>
                <c:pt idx="7">
                  <c:v>Keyboard</c:v>
                </c:pt>
                <c:pt idx="8">
                  <c:v>Kurti</c:v>
                </c:pt>
                <c:pt idx="9">
                  <c:v>Laptop</c:v>
                </c:pt>
                <c:pt idx="10">
                  <c:v>Lipstick</c:v>
                </c:pt>
                <c:pt idx="11">
                  <c:v>Moisturizer</c:v>
                </c:pt>
                <c:pt idx="12">
                  <c:v>Monitor</c:v>
                </c:pt>
                <c:pt idx="13">
                  <c:v>Mouse</c:v>
                </c:pt>
                <c:pt idx="14">
                  <c:v>Office Chair</c:v>
                </c:pt>
                <c:pt idx="15">
                  <c:v>Perfume</c:v>
                </c:pt>
                <c:pt idx="16">
                  <c:v>Printer</c:v>
                </c:pt>
                <c:pt idx="17">
                  <c:v>Saree</c:v>
                </c:pt>
                <c:pt idx="18">
                  <c:v>Shampoo</c:v>
                </c:pt>
                <c:pt idx="19">
                  <c:v>Shirt</c:v>
                </c:pt>
                <c:pt idx="20">
                  <c:v>Smartphone</c:v>
                </c:pt>
                <c:pt idx="21">
                  <c:v>Smartwatch</c:v>
                </c:pt>
                <c:pt idx="22">
                  <c:v>Sofa</c:v>
                </c:pt>
                <c:pt idx="23">
                  <c:v>Study Table</c:v>
                </c:pt>
                <c:pt idx="24">
                  <c:v>Sunscreen</c:v>
                </c:pt>
                <c:pt idx="25">
                  <c:v>Tablet</c:v>
                </c:pt>
                <c:pt idx="26">
                  <c:v>T-Shirt</c:v>
                </c:pt>
                <c:pt idx="27">
                  <c:v>Wardrobe</c:v>
                </c:pt>
              </c:strCache>
            </c:strRef>
          </c:cat>
          <c:val>
            <c:numRef>
              <c:f>'Pivot Table'!$B$49:$B$77</c:f>
              <c:numCache>
                <c:formatCode>"₹"\ #,##0</c:formatCode>
                <c:ptCount val="28"/>
                <c:pt idx="0">
                  <c:v>55800</c:v>
                </c:pt>
                <c:pt idx="1">
                  <c:v>57600</c:v>
                </c:pt>
                <c:pt idx="2">
                  <c:v>13500</c:v>
                </c:pt>
                <c:pt idx="3">
                  <c:v>19800</c:v>
                </c:pt>
                <c:pt idx="4">
                  <c:v>44000</c:v>
                </c:pt>
                <c:pt idx="5">
                  <c:v>30800</c:v>
                </c:pt>
                <c:pt idx="6">
                  <c:v>37800</c:v>
                </c:pt>
                <c:pt idx="7">
                  <c:v>40000</c:v>
                </c:pt>
                <c:pt idx="8">
                  <c:v>30450</c:v>
                </c:pt>
                <c:pt idx="9">
                  <c:v>165000</c:v>
                </c:pt>
                <c:pt idx="10">
                  <c:v>13750</c:v>
                </c:pt>
                <c:pt idx="11">
                  <c:v>24480</c:v>
                </c:pt>
                <c:pt idx="12">
                  <c:v>130500</c:v>
                </c:pt>
                <c:pt idx="13">
                  <c:v>18000</c:v>
                </c:pt>
                <c:pt idx="14">
                  <c:v>90000</c:v>
                </c:pt>
                <c:pt idx="15">
                  <c:v>31500</c:v>
                </c:pt>
                <c:pt idx="16">
                  <c:v>87500</c:v>
                </c:pt>
                <c:pt idx="17">
                  <c:v>41600</c:v>
                </c:pt>
                <c:pt idx="18">
                  <c:v>19240</c:v>
                </c:pt>
                <c:pt idx="19">
                  <c:v>36000</c:v>
                </c:pt>
                <c:pt idx="20">
                  <c:v>112000</c:v>
                </c:pt>
                <c:pt idx="21">
                  <c:v>39000</c:v>
                </c:pt>
                <c:pt idx="22">
                  <c:v>84000</c:v>
                </c:pt>
                <c:pt idx="23">
                  <c:v>63000</c:v>
                </c:pt>
                <c:pt idx="24">
                  <c:v>11480</c:v>
                </c:pt>
                <c:pt idx="25">
                  <c:v>154000</c:v>
                </c:pt>
                <c:pt idx="26">
                  <c:v>32300</c:v>
                </c:pt>
                <c:pt idx="27">
                  <c:v>120000</c:v>
                </c:pt>
              </c:numCache>
            </c:numRef>
          </c:val>
          <c:extLst>
            <c:ext xmlns:c16="http://schemas.microsoft.com/office/drawing/2014/chart" uri="{C3380CC4-5D6E-409C-BE32-E72D297353CC}">
              <c16:uniqueId val="{00000000-0A7F-44FE-8FB8-5D11D5D51A39}"/>
            </c:ext>
          </c:extLst>
        </c:ser>
        <c:dLbls>
          <c:showLegendKey val="0"/>
          <c:showVal val="0"/>
          <c:showCatName val="0"/>
          <c:showSerName val="0"/>
          <c:showPercent val="0"/>
          <c:showBubbleSize val="0"/>
        </c:dLbls>
        <c:gapWidth val="182"/>
        <c:axId val="1298477168"/>
        <c:axId val="1135220240"/>
      </c:barChart>
      <c:catAx>
        <c:axId val="129847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20240"/>
        <c:crosses val="autoZero"/>
        <c:auto val="1"/>
        <c:lblAlgn val="ctr"/>
        <c:lblOffset val="100"/>
        <c:noMultiLvlLbl val="0"/>
      </c:catAx>
      <c:valAx>
        <c:axId val="11352202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7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[Retail Sales Dashboard.xlsx]Pivot Table!PivotTable3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3915135608048"/>
          <c:y val="0.17265419947506563"/>
          <c:w val="0.73833114610673667"/>
          <c:h val="0.55945907152230967"/>
        </c:manualLayout>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multiLvlStrRef>
              <c:f>'Pivot Table'!$A$21:$A$41</c:f>
              <c:multiLvlStrCache>
                <c:ptCount val="13"/>
                <c:lvl>
                  <c:pt idx="0">
                    <c:v>Online</c:v>
                  </c:pt>
                  <c:pt idx="1">
                    <c:v>Store</c:v>
                  </c:pt>
                  <c:pt idx="2">
                    <c:v>Online</c:v>
                  </c:pt>
                  <c:pt idx="3">
                    <c:v>Store</c:v>
                  </c:pt>
                  <c:pt idx="4">
                    <c:v>Online</c:v>
                  </c:pt>
                  <c:pt idx="5">
                    <c:v>Store</c:v>
                  </c:pt>
                  <c:pt idx="6">
                    <c:v>Online</c:v>
                  </c:pt>
                  <c:pt idx="7">
                    <c:v>Store</c:v>
                  </c:pt>
                  <c:pt idx="8">
                    <c:v>Online</c:v>
                  </c:pt>
                  <c:pt idx="9">
                    <c:v>Online</c:v>
                  </c:pt>
                  <c:pt idx="10">
                    <c:v>Store</c:v>
                  </c:pt>
                  <c:pt idx="11">
                    <c:v>Online</c:v>
                  </c:pt>
                  <c:pt idx="12">
                    <c:v>Store</c:v>
                  </c:pt>
                </c:lvl>
                <c:lvl>
                  <c:pt idx="0">
                    <c:v>Bangalore</c:v>
                  </c:pt>
                  <c:pt idx="2">
                    <c:v>Chennai</c:v>
                  </c:pt>
                  <c:pt idx="4">
                    <c:v>Delhi</c:v>
                  </c:pt>
                  <c:pt idx="6">
                    <c:v>Hyderabad</c:v>
                  </c:pt>
                  <c:pt idx="8">
                    <c:v>Kolkata</c:v>
                  </c:pt>
                  <c:pt idx="9">
                    <c:v>Mumbai</c:v>
                  </c:pt>
                  <c:pt idx="11">
                    <c:v>Pune</c:v>
                  </c:pt>
                </c:lvl>
              </c:multiLvlStrCache>
            </c:multiLvlStrRef>
          </c:cat>
          <c:val>
            <c:numRef>
              <c:f>'Pivot Table'!$B$21:$B$41</c:f>
              <c:numCache>
                <c:formatCode>"₹"\ #,##0</c:formatCode>
                <c:ptCount val="13"/>
                <c:pt idx="0">
                  <c:v>198800</c:v>
                </c:pt>
                <c:pt idx="1">
                  <c:v>67450</c:v>
                </c:pt>
                <c:pt idx="2">
                  <c:v>159000</c:v>
                </c:pt>
                <c:pt idx="3">
                  <c:v>146000</c:v>
                </c:pt>
                <c:pt idx="4">
                  <c:v>162000</c:v>
                </c:pt>
                <c:pt idx="5">
                  <c:v>169550</c:v>
                </c:pt>
                <c:pt idx="6">
                  <c:v>115480</c:v>
                </c:pt>
                <c:pt idx="7">
                  <c:v>96140</c:v>
                </c:pt>
                <c:pt idx="8">
                  <c:v>15300</c:v>
                </c:pt>
                <c:pt idx="9">
                  <c:v>100180</c:v>
                </c:pt>
                <c:pt idx="10">
                  <c:v>80000</c:v>
                </c:pt>
                <c:pt idx="11">
                  <c:v>252700</c:v>
                </c:pt>
                <c:pt idx="12">
                  <c:v>40500</c:v>
                </c:pt>
              </c:numCache>
            </c:numRef>
          </c:val>
          <c:extLst>
            <c:ext xmlns:c16="http://schemas.microsoft.com/office/drawing/2014/chart" uri="{C3380CC4-5D6E-409C-BE32-E72D297353CC}">
              <c16:uniqueId val="{00000000-AE09-4691-9BA1-8E7FA17F5395}"/>
            </c:ext>
          </c:extLst>
        </c:ser>
        <c:dLbls>
          <c:showLegendKey val="0"/>
          <c:showVal val="0"/>
          <c:showCatName val="0"/>
          <c:showSerName val="0"/>
          <c:showPercent val="0"/>
          <c:showBubbleSize val="0"/>
        </c:dLbls>
        <c:gapWidth val="219"/>
        <c:overlap val="-27"/>
        <c:axId val="1301297616"/>
        <c:axId val="1135252880"/>
      </c:barChart>
      <c:catAx>
        <c:axId val="130129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52880"/>
        <c:crosses val="autoZero"/>
        <c:auto val="1"/>
        <c:lblAlgn val="ctr"/>
        <c:lblOffset val="100"/>
        <c:noMultiLvlLbl val="0"/>
      </c:catAx>
      <c:valAx>
        <c:axId val="1135252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9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251460</xdr:colOff>
      <xdr:row>6</xdr:row>
      <xdr:rowOff>45720</xdr:rowOff>
    </xdr:from>
    <xdr:to>
      <xdr:col>11</xdr:col>
      <xdr:colOff>556260</xdr:colOff>
      <xdr:row>21</xdr:row>
      <xdr:rowOff>45720</xdr:rowOff>
    </xdr:to>
    <xdr:graphicFrame macro="">
      <xdr:nvGraphicFramePr>
        <xdr:cNvPr id="11" name="Chart 10">
          <a:extLst>
            <a:ext uri="{FF2B5EF4-FFF2-40B4-BE49-F238E27FC236}">
              <a16:creationId xmlns:a16="http://schemas.microsoft.com/office/drawing/2014/main" id="{1EC73E77-51B4-B445-BE4D-1DB0C34AF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198120</xdr:colOff>
      <xdr:row>18</xdr:row>
      <xdr:rowOff>22860</xdr:rowOff>
    </xdr:from>
    <xdr:to>
      <xdr:col>7</xdr:col>
      <xdr:colOff>502920</xdr:colOff>
      <xdr:row>34</xdr:row>
      <xdr:rowOff>22860</xdr:rowOff>
    </xdr:to>
    <xdr:graphicFrame macro="">
      <xdr:nvGraphicFramePr>
        <xdr:cNvPr id="8" name="Chart 7">
          <a:extLst>
            <a:ext uri="{FF2B5EF4-FFF2-40B4-BE49-F238E27FC236}">
              <a16:creationId xmlns:a16="http://schemas.microsoft.com/office/drawing/2014/main" id="{D273759C-83B8-4A7C-A496-8FF1F2699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2</xdr:row>
      <xdr:rowOff>15240</xdr:rowOff>
    </xdr:from>
    <xdr:to>
      <xdr:col>7</xdr:col>
      <xdr:colOff>335280</xdr:colOff>
      <xdr:row>16</xdr:row>
      <xdr:rowOff>154920</xdr:rowOff>
    </xdr:to>
    <xdr:graphicFrame macro="">
      <xdr:nvGraphicFramePr>
        <xdr:cNvPr id="5" name="Chart 4">
          <a:extLst>
            <a:ext uri="{FF2B5EF4-FFF2-40B4-BE49-F238E27FC236}">
              <a16:creationId xmlns:a16="http://schemas.microsoft.com/office/drawing/2014/main" id="{62D7636F-3DAF-4693-9AF0-822B49585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449580</xdr:colOff>
      <xdr:row>2</xdr:row>
      <xdr:rowOff>30480</xdr:rowOff>
    </xdr:from>
    <xdr:to>
      <xdr:col>15</xdr:col>
      <xdr:colOff>53340</xdr:colOff>
      <xdr:row>17</xdr:row>
      <xdr:rowOff>7620</xdr:rowOff>
    </xdr:to>
    <xdr:graphicFrame macro="">
      <xdr:nvGraphicFramePr>
        <xdr:cNvPr id="7" name="Chart 6">
          <a:extLst>
            <a:ext uri="{FF2B5EF4-FFF2-40B4-BE49-F238E27FC236}">
              <a16:creationId xmlns:a16="http://schemas.microsoft.com/office/drawing/2014/main" id="{8AB61814-A80E-48E4-BA86-45CC13377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18</xdr:row>
      <xdr:rowOff>0</xdr:rowOff>
    </xdr:from>
    <xdr:to>
      <xdr:col>15</xdr:col>
      <xdr:colOff>304800</xdr:colOff>
      <xdr:row>33</xdr:row>
      <xdr:rowOff>0</xdr:rowOff>
    </xdr:to>
    <xdr:graphicFrame macro="">
      <xdr:nvGraphicFramePr>
        <xdr:cNvPr id="9" name="Chart 8">
          <a:extLst>
            <a:ext uri="{FF2B5EF4-FFF2-40B4-BE49-F238E27FC236}">
              <a16:creationId xmlns:a16="http://schemas.microsoft.com/office/drawing/2014/main" id="{5D1717EE-78F1-473C-876C-8AA5CC44C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160020</xdr:colOff>
      <xdr:row>35</xdr:row>
      <xdr:rowOff>0</xdr:rowOff>
    </xdr:from>
    <xdr:to>
      <xdr:col>7</xdr:col>
      <xdr:colOff>464820</xdr:colOff>
      <xdr:row>50</xdr:row>
      <xdr:rowOff>0</xdr:rowOff>
    </xdr:to>
    <xdr:graphicFrame macro="">
      <xdr:nvGraphicFramePr>
        <xdr:cNvPr id="10" name="Chart 9">
          <a:extLst>
            <a:ext uri="{FF2B5EF4-FFF2-40B4-BE49-F238E27FC236}">
              <a16:creationId xmlns:a16="http://schemas.microsoft.com/office/drawing/2014/main" id="{DBE8B01E-A296-4AD8-A2E3-9265222CE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35</xdr:row>
      <xdr:rowOff>0</xdr:rowOff>
    </xdr:from>
    <xdr:to>
      <xdr:col>11</xdr:col>
      <xdr:colOff>0</xdr:colOff>
      <xdr:row>48</xdr:row>
      <xdr:rowOff>89535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D9BA0CA9-6DDE-40D4-AD6B-870BD2732C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76800" y="6400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68580</xdr:colOff>
      <xdr:row>34</xdr:row>
      <xdr:rowOff>167640</xdr:rowOff>
    </xdr:from>
    <xdr:to>
      <xdr:col>14</xdr:col>
      <xdr:colOff>68580</xdr:colOff>
      <xdr:row>48</xdr:row>
      <xdr:rowOff>74295</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CD791966-CA37-40C5-90A0-F84CD2DB0BE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74180" y="6385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34</xdr:row>
      <xdr:rowOff>144780</xdr:rowOff>
    </xdr:from>
    <xdr:to>
      <xdr:col>17</xdr:col>
      <xdr:colOff>114300</xdr:colOff>
      <xdr:row>48</xdr:row>
      <xdr:rowOff>51435</xdr:rowOff>
    </xdr:to>
    <mc:AlternateContent xmlns:mc="http://schemas.openxmlformats.org/markup-compatibility/2006">
      <mc:Choice xmlns:a14="http://schemas.microsoft.com/office/drawing/2010/main" Requires="a14">
        <xdr:graphicFrame macro="">
          <xdr:nvGraphicFramePr>
            <xdr:cNvPr id="14" name="Channel">
              <a:extLst>
                <a:ext uri="{FF2B5EF4-FFF2-40B4-BE49-F238E27FC236}">
                  <a16:creationId xmlns:a16="http://schemas.microsoft.com/office/drawing/2014/main" id="{290D5AE2-FEFA-4C7C-B08F-D67CD067AAE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8648700" y="6362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205740</xdr:colOff>
      <xdr:row>0</xdr:row>
      <xdr:rowOff>83820</xdr:rowOff>
    </xdr:from>
    <xdr:to>
      <xdr:col>8</xdr:col>
      <xdr:colOff>228600</xdr:colOff>
      <xdr:row>1</xdr:row>
      <xdr:rowOff>144780</xdr:rowOff>
    </xdr:to>
    <xdr:sp macro="" textlink="">
      <xdr:nvSpPr>
        <xdr:cNvPr id="15" name="Rectangle: Rounded Corners 14">
          <a:extLst>
            <a:ext uri="{FF2B5EF4-FFF2-40B4-BE49-F238E27FC236}">
              <a16:creationId xmlns:a16="http://schemas.microsoft.com/office/drawing/2014/main" id="{B53BD571-169C-E3A7-C684-687DADBCD142}"/>
            </a:ext>
          </a:extLst>
        </xdr:cNvPr>
        <xdr:cNvSpPr/>
      </xdr:nvSpPr>
      <xdr:spPr>
        <a:xfrm>
          <a:off x="3863340" y="83820"/>
          <a:ext cx="1242060" cy="2438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6</xdr:col>
      <xdr:colOff>220980</xdr:colOff>
      <xdr:row>0</xdr:row>
      <xdr:rowOff>121920</xdr:rowOff>
    </xdr:from>
    <xdr:to>
      <xdr:col>8</xdr:col>
      <xdr:colOff>213360</xdr:colOff>
      <xdr:row>1</xdr:row>
      <xdr:rowOff>144780</xdr:rowOff>
    </xdr:to>
    <xdr:sp macro="" textlink="">
      <xdr:nvSpPr>
        <xdr:cNvPr id="4097" name="Text Box 1">
          <a:extLst>
            <a:ext uri="{FF2B5EF4-FFF2-40B4-BE49-F238E27FC236}">
              <a16:creationId xmlns:a16="http://schemas.microsoft.com/office/drawing/2014/main" id="{B41B872D-CEDE-BF68-789C-5688785C2131}"/>
            </a:ext>
          </a:extLst>
        </xdr:cNvPr>
        <xdr:cNvSpPr txBox="1">
          <a:spLocks noChangeArrowheads="1"/>
        </xdr:cNvSpPr>
      </xdr:nvSpPr>
      <xdr:spPr bwMode="auto">
        <a:xfrm>
          <a:off x="3878580" y="121920"/>
          <a:ext cx="1211580" cy="205740"/>
        </a:xfrm>
        <a:prstGeom prst="rect">
          <a:avLst/>
        </a:prstGeom>
        <a:solidFill>
          <a:schemeClr val="accent1"/>
        </a:solidFill>
        <a:ln w="9525">
          <a:solidFill>
            <a:srgbClr val="000000"/>
          </a:solidFill>
          <a:miter lim="800000"/>
          <a:headEnd/>
          <a:tailEnd/>
        </a:ln>
      </xdr:spPr>
      <xdr:txBody>
        <a:bodyPr vertOverflow="clip" wrap="square" lIns="36576" tIns="32004" rIns="0"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IN" sz="1200">
              <a:solidFill>
                <a:schemeClr val="bg1"/>
              </a:solidFill>
            </a:rPr>
            <a:t>Charts &amp; Slicers</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en-IN" sz="1100">
            <a:solidFill>
              <a:schemeClr val="bg1"/>
            </a:solidFill>
          </a:endParaRPr>
        </a:p>
        <a:p>
          <a:pPr algn="l" rtl="0">
            <a:defRPr sz="1000"/>
          </a:pPr>
          <a:endParaRPr lang="en-IN" sz="1100" b="0" i="0" u="none" strike="noStrike" baseline="0">
            <a:solidFill>
              <a:schemeClr val="bg1"/>
            </a:solidFill>
            <a:latin typeface="Calibri"/>
            <a:ea typeface="Calibri"/>
            <a:cs typeface="Calibri"/>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0.365</cdr:x>
      <cdr:y>0.01823</cdr:y>
    </cdr:from>
    <cdr:to>
      <cdr:x>0.67333</cdr:x>
      <cdr:y>0.125</cdr:y>
    </cdr:to>
    <cdr:sp macro="" textlink="">
      <cdr:nvSpPr>
        <cdr:cNvPr id="2" name="Rectangle: Rounded Corners 1">
          <a:extLst xmlns:a="http://schemas.openxmlformats.org/drawingml/2006/main">
            <a:ext uri="{FF2B5EF4-FFF2-40B4-BE49-F238E27FC236}">
              <a16:creationId xmlns:a16="http://schemas.microsoft.com/office/drawing/2014/main" id="{E61B8A36-5035-91A9-B4AB-4BD401FE9451}"/>
            </a:ext>
          </a:extLst>
        </cdr:cNvPr>
        <cdr:cNvSpPr/>
      </cdr:nvSpPr>
      <cdr:spPr>
        <a:xfrm xmlns:a="http://schemas.openxmlformats.org/drawingml/2006/main">
          <a:off x="1668780" y="53341"/>
          <a:ext cx="1409700" cy="312419"/>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100"/>
            <a:t>City &amp; Channel Sales</a:t>
          </a:r>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0.34833</cdr:x>
      <cdr:y>0.02841</cdr:y>
    </cdr:from>
    <cdr:to>
      <cdr:x>0.64833</cdr:x>
      <cdr:y>0.11408</cdr:y>
    </cdr:to>
    <cdr:sp macro="" textlink="">
      <cdr:nvSpPr>
        <cdr:cNvPr id="2" name="Rectangle: Rounded Corners 1">
          <a:extLst xmlns:a="http://schemas.openxmlformats.org/drawingml/2006/main">
            <a:ext uri="{FF2B5EF4-FFF2-40B4-BE49-F238E27FC236}">
              <a16:creationId xmlns:a16="http://schemas.microsoft.com/office/drawing/2014/main" id="{A513949E-A270-F133-559F-740FD3CC438A}"/>
            </a:ext>
          </a:extLst>
        </cdr:cNvPr>
        <cdr:cNvSpPr/>
      </cdr:nvSpPr>
      <cdr:spPr>
        <a:xfrm xmlns:a="http://schemas.openxmlformats.org/drawingml/2006/main">
          <a:off x="1592580" y="76200"/>
          <a:ext cx="1371600" cy="229785"/>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100"/>
            <a:t>Category-wise Sales</a:t>
          </a:r>
          <a:endParaRPr lang="en-IN" sz="1100" kern="1200"/>
        </a:p>
      </cdr:txBody>
    </cdr:sp>
  </cdr:relSizeAnchor>
</c:userShapes>
</file>

<file path=xl/drawings/drawing5.xml><?xml version="1.0" encoding="utf-8"?>
<c:userShapes xmlns:c="http://schemas.openxmlformats.org/drawingml/2006/chart">
  <cdr:relSizeAnchor xmlns:cdr="http://schemas.openxmlformats.org/drawingml/2006/chartDrawing">
    <cdr:from>
      <cdr:x>0.40156</cdr:x>
      <cdr:y>0.03081</cdr:y>
    </cdr:from>
    <cdr:to>
      <cdr:x>0.66667</cdr:x>
      <cdr:y>0.13445</cdr:y>
    </cdr:to>
    <cdr:sp macro="" textlink="">
      <cdr:nvSpPr>
        <cdr:cNvPr id="2" name="Rectangle: Rounded Corners 1">
          <a:extLst xmlns:a="http://schemas.openxmlformats.org/drawingml/2006/main">
            <a:ext uri="{FF2B5EF4-FFF2-40B4-BE49-F238E27FC236}">
              <a16:creationId xmlns:a16="http://schemas.microsoft.com/office/drawing/2014/main" id="{911E0AAD-69CF-F9C1-7638-16ED82A55495}"/>
            </a:ext>
          </a:extLst>
        </cdr:cNvPr>
        <cdr:cNvSpPr/>
      </cdr:nvSpPr>
      <cdr:spPr>
        <a:xfrm xmlns:a="http://schemas.openxmlformats.org/drawingml/2006/main">
          <a:off x="1799235" y="83821"/>
          <a:ext cx="1187806" cy="281939"/>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100"/>
            <a:t>City-wise Sales</a:t>
          </a:r>
          <a:endParaRPr lang="en-IN" sz="1100" kern="1200"/>
        </a:p>
      </cdr:txBody>
    </cdr:sp>
  </cdr:relSizeAnchor>
</c:userShapes>
</file>

<file path=xl/drawings/drawing6.xml><?xml version="1.0" encoding="utf-8"?>
<c:userShapes xmlns:c="http://schemas.openxmlformats.org/drawingml/2006/chart">
  <cdr:relSizeAnchor xmlns:cdr="http://schemas.openxmlformats.org/drawingml/2006/chartDrawing">
    <cdr:from>
      <cdr:x>0.39167</cdr:x>
      <cdr:y>0.025</cdr:y>
    </cdr:from>
    <cdr:to>
      <cdr:x>0.67833</cdr:x>
      <cdr:y>0.11667</cdr:y>
    </cdr:to>
    <cdr:sp macro="" textlink="">
      <cdr:nvSpPr>
        <cdr:cNvPr id="2" name="Rectangle: Rounded Corners 1">
          <a:extLst xmlns:a="http://schemas.openxmlformats.org/drawingml/2006/main">
            <a:ext uri="{FF2B5EF4-FFF2-40B4-BE49-F238E27FC236}">
              <a16:creationId xmlns:a16="http://schemas.microsoft.com/office/drawing/2014/main" id="{110805EC-A4DB-9074-48DC-497775A2D3DF}"/>
            </a:ext>
          </a:extLst>
        </cdr:cNvPr>
        <cdr:cNvSpPr/>
      </cdr:nvSpPr>
      <cdr:spPr>
        <a:xfrm xmlns:a="http://schemas.openxmlformats.org/drawingml/2006/main">
          <a:off x="1790700" y="68580"/>
          <a:ext cx="1310640" cy="251460"/>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100"/>
            <a:t>Channel-wise Sales</a:t>
          </a:r>
        </a:p>
        <a:p xmlns:a="http://schemas.openxmlformats.org/drawingml/2006/main">
          <a:pPr algn="ctr"/>
          <a:endParaRPr lang="en-IN" sz="1100" kern="1200"/>
        </a:p>
      </cdr:txBody>
    </cdr:sp>
  </cdr:relSizeAnchor>
</c:userShapes>
</file>

<file path=xl/drawings/drawing7.xml><?xml version="1.0" encoding="utf-8"?>
<c:userShapes xmlns:c="http://schemas.openxmlformats.org/drawingml/2006/chart">
  <cdr:relSizeAnchor xmlns:cdr="http://schemas.openxmlformats.org/drawingml/2006/chartDrawing">
    <cdr:from>
      <cdr:x>0.32333</cdr:x>
      <cdr:y>0.02222</cdr:y>
    </cdr:from>
    <cdr:to>
      <cdr:x>0.61167</cdr:x>
      <cdr:y>0.12778</cdr:y>
    </cdr:to>
    <cdr:sp macro="" textlink="">
      <cdr:nvSpPr>
        <cdr:cNvPr id="2" name="Rectangle: Rounded Corners 1">
          <a:extLst xmlns:a="http://schemas.openxmlformats.org/drawingml/2006/main">
            <a:ext uri="{FF2B5EF4-FFF2-40B4-BE49-F238E27FC236}">
              <a16:creationId xmlns:a16="http://schemas.microsoft.com/office/drawing/2014/main" id="{A254B79E-FED1-9059-5DF3-86F26CFB0E5E}"/>
            </a:ext>
          </a:extLst>
        </cdr:cNvPr>
        <cdr:cNvSpPr/>
      </cdr:nvSpPr>
      <cdr:spPr>
        <a:xfrm xmlns:a="http://schemas.openxmlformats.org/drawingml/2006/main">
          <a:off x="1478280" y="60960"/>
          <a:ext cx="1318260" cy="289560"/>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b="1"/>
            <a:t>Product-wise Sales</a:t>
          </a:r>
          <a:endParaRPr lang="en-IN" kern="1200"/>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289560</xdr:colOff>
      <xdr:row>1</xdr:row>
      <xdr:rowOff>7620</xdr:rowOff>
    </xdr:from>
    <xdr:to>
      <xdr:col>7</xdr:col>
      <xdr:colOff>371160</xdr:colOff>
      <xdr:row>3</xdr:row>
      <xdr:rowOff>73860</xdr:rowOff>
    </xdr:to>
    <xdr:sp macro="" textlink="">
      <xdr:nvSpPr>
        <xdr:cNvPr id="2" name="Rectangle: Rounded Corners 1">
          <a:extLst>
            <a:ext uri="{FF2B5EF4-FFF2-40B4-BE49-F238E27FC236}">
              <a16:creationId xmlns:a16="http://schemas.microsoft.com/office/drawing/2014/main" id="{E5C57264-25C7-BFB7-4878-20548CABCA46}"/>
            </a:ext>
          </a:extLst>
        </xdr:cNvPr>
        <xdr:cNvSpPr/>
      </xdr:nvSpPr>
      <xdr:spPr>
        <a:xfrm>
          <a:off x="2118360" y="190500"/>
          <a:ext cx="2520000" cy="432000"/>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C00000"/>
              </a:solidFill>
            </a:rPr>
            <a:t>SALES ANALYTICS DASHBOARD</a:t>
          </a:r>
        </a:p>
      </xdr:txBody>
    </xdr:sp>
    <xdr:clientData/>
  </xdr:twoCellAnchor>
  <xdr:twoCellAnchor>
    <xdr:from>
      <xdr:col>0</xdr:col>
      <xdr:colOff>152400</xdr:colOff>
      <xdr:row>4</xdr:row>
      <xdr:rowOff>30480</xdr:rowOff>
    </xdr:from>
    <xdr:to>
      <xdr:col>2</xdr:col>
      <xdr:colOff>13200</xdr:colOff>
      <xdr:row>7</xdr:row>
      <xdr:rowOff>93840</xdr:rowOff>
    </xdr:to>
    <xdr:sp macro="" textlink="">
      <xdr:nvSpPr>
        <xdr:cNvPr id="3" name="Rectangle: Rounded Corners 2">
          <a:extLst>
            <a:ext uri="{FF2B5EF4-FFF2-40B4-BE49-F238E27FC236}">
              <a16:creationId xmlns:a16="http://schemas.microsoft.com/office/drawing/2014/main" id="{BA958F58-C06B-CA64-BDCF-FE4A1673F981}"/>
            </a:ext>
          </a:extLst>
        </xdr:cNvPr>
        <xdr:cNvSpPr/>
      </xdr:nvSpPr>
      <xdr:spPr>
        <a:xfrm>
          <a:off x="152400" y="762000"/>
          <a:ext cx="1080000" cy="612000"/>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rgbClr val="C00000"/>
              </a:solidFill>
              <a:latin typeface="+mn-lt"/>
              <a:ea typeface="+mn-ea"/>
              <a:cs typeface="+mn-cs"/>
            </a:rPr>
            <a:t>Total  Sales ₹</a:t>
          </a:r>
          <a:r>
            <a:rPr lang="en-IN" sz="1200" b="1">
              <a:solidFill>
                <a:srgbClr val="C00000"/>
              </a:solidFill>
              <a:latin typeface="+mn-lt"/>
              <a:ea typeface="+mn-ea"/>
              <a:cs typeface="+mn-cs"/>
            </a:rPr>
            <a:t>16,03,100</a:t>
          </a:r>
        </a:p>
        <a:p>
          <a:pPr marL="0" indent="0" algn="l"/>
          <a:endParaRPr lang="en-IN" sz="1100" b="1">
            <a:solidFill>
              <a:srgbClr val="C00000"/>
            </a:solidFill>
            <a:latin typeface="+mn-lt"/>
            <a:ea typeface="+mn-ea"/>
            <a:cs typeface="+mn-cs"/>
          </a:endParaRPr>
        </a:p>
      </xdr:txBody>
    </xdr:sp>
    <xdr:clientData/>
  </xdr:twoCellAnchor>
  <xdr:twoCellAnchor>
    <xdr:from>
      <xdr:col>2</xdr:col>
      <xdr:colOff>83820</xdr:colOff>
      <xdr:row>4</xdr:row>
      <xdr:rowOff>53340</xdr:rowOff>
    </xdr:from>
    <xdr:to>
      <xdr:col>4</xdr:col>
      <xdr:colOff>232620</xdr:colOff>
      <xdr:row>7</xdr:row>
      <xdr:rowOff>116700</xdr:rowOff>
    </xdr:to>
    <xdr:sp macro="" textlink="">
      <xdr:nvSpPr>
        <xdr:cNvPr id="7" name="Rectangle: Rounded Corners 6">
          <a:extLst>
            <a:ext uri="{FF2B5EF4-FFF2-40B4-BE49-F238E27FC236}">
              <a16:creationId xmlns:a16="http://schemas.microsoft.com/office/drawing/2014/main" id="{070EEFD3-68AA-4237-A77A-84FA35A3E38D}"/>
            </a:ext>
          </a:extLst>
        </xdr:cNvPr>
        <xdr:cNvSpPr/>
      </xdr:nvSpPr>
      <xdr:spPr>
        <a:xfrm>
          <a:off x="1303020" y="784860"/>
          <a:ext cx="1368000" cy="612000"/>
        </a:xfrm>
        <a:prstGeom prst="roundRect">
          <a:avLst/>
        </a:prstGeom>
        <a:solidFill>
          <a:schemeClr val="accent3"/>
        </a:solidFill>
        <a:ln w="25400" cap="flat" cmpd="sng" algn="ctr">
          <a:solidFill>
            <a:srgbClr val="4F81BD">
              <a:shade val="15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rgbClr val="C00000"/>
              </a:solidFill>
            </a:rPr>
            <a:t>Total Quantity Sold</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rgbClr val="C00000"/>
              </a:solidFill>
              <a:effectLst/>
              <a:uLnTx/>
              <a:uFillTx/>
              <a:latin typeface="Calibri"/>
              <a:ea typeface="+mn-ea"/>
              <a:cs typeface="+mn-cs"/>
            </a:rPr>
            <a:t>478</a:t>
          </a:r>
        </a:p>
      </xdr:txBody>
    </xdr:sp>
    <xdr:clientData/>
  </xdr:twoCellAnchor>
  <xdr:twoCellAnchor>
    <xdr:from>
      <xdr:col>4</xdr:col>
      <xdr:colOff>342900</xdr:colOff>
      <xdr:row>4</xdr:row>
      <xdr:rowOff>53340</xdr:rowOff>
    </xdr:from>
    <xdr:to>
      <xdr:col>6</xdr:col>
      <xdr:colOff>203700</xdr:colOff>
      <xdr:row>7</xdr:row>
      <xdr:rowOff>116700</xdr:rowOff>
    </xdr:to>
    <xdr:sp macro="" textlink="">
      <xdr:nvSpPr>
        <xdr:cNvPr id="8" name="Rectangle: Rounded Corners 7">
          <a:extLst>
            <a:ext uri="{FF2B5EF4-FFF2-40B4-BE49-F238E27FC236}">
              <a16:creationId xmlns:a16="http://schemas.microsoft.com/office/drawing/2014/main" id="{78336FBA-47D2-4929-BF20-46C14EF2376D}"/>
            </a:ext>
          </a:extLst>
        </xdr:cNvPr>
        <xdr:cNvSpPr/>
      </xdr:nvSpPr>
      <xdr:spPr>
        <a:xfrm>
          <a:off x="2781300" y="784860"/>
          <a:ext cx="1080000" cy="612000"/>
        </a:xfrm>
        <a:prstGeom prst="roundRect">
          <a:avLst/>
        </a:prstGeom>
        <a:solidFill>
          <a:srgbClr val="9BBB59"/>
        </a:solidFill>
        <a:ln w="25400" cap="flat" cmpd="sng" algn="ctr">
          <a:solidFill>
            <a:srgbClr val="4F81BD">
              <a:shade val="15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rgbClr val="C00000"/>
              </a:solidFill>
              <a:effectLst/>
              <a:uLnTx/>
              <a:uFillTx/>
              <a:latin typeface="Calibri"/>
              <a:ea typeface="+mn-ea"/>
              <a:cs typeface="+mn-cs"/>
            </a:rPr>
            <a:t>Average Sales</a:t>
          </a:r>
        </a:p>
        <a:p>
          <a:pPr marL="0" marR="0" lvl="0" indent="0" algn="ctr" defTabSz="914400" eaLnBrk="1" fontAlgn="auto" latinLnBrk="0" hangingPunct="1">
            <a:lnSpc>
              <a:spcPct val="100000"/>
            </a:lnSpc>
            <a:spcBef>
              <a:spcPts val="0"/>
            </a:spcBef>
            <a:spcAft>
              <a:spcPts val="0"/>
            </a:spcAft>
            <a:buClrTx/>
            <a:buSzTx/>
            <a:buFontTx/>
            <a:buNone/>
            <a:tabLst/>
            <a:defRPr/>
          </a:pPr>
          <a:r>
            <a:rPr lang="en-IN" b="1">
              <a:solidFill>
                <a:srgbClr val="C00000"/>
              </a:solidFill>
            </a:rPr>
            <a:t>₹</a:t>
          </a:r>
          <a:r>
            <a:rPr lang="en-IN" sz="1200" b="1">
              <a:solidFill>
                <a:srgbClr val="C00000"/>
              </a:solidFill>
            </a:rPr>
            <a:t>32,062</a:t>
          </a:r>
          <a:r>
            <a:rPr lang="en-IN" b="1" baseline="0">
              <a:solidFill>
                <a:srgbClr val="C00000"/>
              </a:solidFill>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IN"/>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1" i="0" u="none" strike="noStrike" kern="0" cap="none" spc="0" normalizeH="0" baseline="0" noProof="0">
            <a:ln>
              <a:noFill/>
            </a:ln>
            <a:solidFill>
              <a:srgbClr val="C00000"/>
            </a:solidFill>
            <a:effectLst/>
            <a:uLnTx/>
            <a:uFillTx/>
            <a:latin typeface="Calibri"/>
            <a:ea typeface="+mn-ea"/>
            <a:cs typeface="+mn-cs"/>
          </a:endParaRPr>
        </a:p>
      </xdr:txBody>
    </xdr:sp>
    <xdr:clientData/>
  </xdr:twoCellAnchor>
  <xdr:twoCellAnchor>
    <xdr:from>
      <xdr:col>6</xdr:col>
      <xdr:colOff>289560</xdr:colOff>
      <xdr:row>4</xdr:row>
      <xdr:rowOff>30480</xdr:rowOff>
    </xdr:from>
    <xdr:to>
      <xdr:col>8</xdr:col>
      <xdr:colOff>150360</xdr:colOff>
      <xdr:row>7</xdr:row>
      <xdr:rowOff>93840</xdr:rowOff>
    </xdr:to>
    <xdr:sp macro="" textlink="">
      <xdr:nvSpPr>
        <xdr:cNvPr id="9" name="Rectangle: Rounded Corners 8">
          <a:extLst>
            <a:ext uri="{FF2B5EF4-FFF2-40B4-BE49-F238E27FC236}">
              <a16:creationId xmlns:a16="http://schemas.microsoft.com/office/drawing/2014/main" id="{7478A39D-9188-42E1-B515-2E63BF89C996}"/>
            </a:ext>
          </a:extLst>
        </xdr:cNvPr>
        <xdr:cNvSpPr/>
      </xdr:nvSpPr>
      <xdr:spPr>
        <a:xfrm>
          <a:off x="3947160" y="762000"/>
          <a:ext cx="1080000" cy="612000"/>
        </a:xfrm>
        <a:prstGeom prst="roundRect">
          <a:avLst/>
        </a:prstGeom>
        <a:solidFill>
          <a:srgbClr val="9BBB59"/>
        </a:solidFill>
        <a:ln w="25400" cap="flat" cmpd="sng" algn="ctr">
          <a:solidFill>
            <a:srgbClr val="4F81BD">
              <a:shade val="15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rgbClr val="C00000"/>
              </a:solidFill>
              <a:effectLst/>
              <a:uLnTx/>
              <a:uFillTx/>
              <a:latin typeface="Calibri"/>
              <a:ea typeface="+mn-ea"/>
              <a:cs typeface="+mn-cs"/>
            </a:rPr>
            <a:t>Highest  Sales ₹</a:t>
          </a:r>
          <a:r>
            <a:rPr kumimoji="0" lang="en-IN" sz="1200" b="1" i="0" u="none" strike="noStrike" kern="0" cap="none" spc="0" normalizeH="0" baseline="0" noProof="0">
              <a:ln>
                <a:noFill/>
              </a:ln>
              <a:solidFill>
                <a:srgbClr val="C00000"/>
              </a:solidFill>
              <a:effectLst/>
              <a:uLnTx/>
              <a:uFillTx/>
              <a:latin typeface="Calibri"/>
              <a:ea typeface="+mn-ea"/>
              <a:cs typeface="+mn-cs"/>
            </a:rPr>
            <a:t>1,12,000</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1" i="0" u="none" strike="noStrike" kern="0" cap="none" spc="0" normalizeH="0" baseline="0" noProof="0">
            <a:ln>
              <a:noFill/>
            </a:ln>
            <a:solidFill>
              <a:srgbClr val="C00000"/>
            </a:solidFill>
            <a:effectLst/>
            <a:uLnTx/>
            <a:uFillTx/>
            <a:latin typeface="Calibri"/>
            <a:ea typeface="+mn-ea"/>
            <a:cs typeface="+mn-cs"/>
          </a:endParaRPr>
        </a:p>
      </xdr:txBody>
    </xdr:sp>
    <xdr:clientData/>
  </xdr:twoCellAnchor>
  <xdr:twoCellAnchor>
    <xdr:from>
      <xdr:col>8</xdr:col>
      <xdr:colOff>243840</xdr:colOff>
      <xdr:row>4</xdr:row>
      <xdr:rowOff>68580</xdr:rowOff>
    </xdr:from>
    <xdr:to>
      <xdr:col>10</xdr:col>
      <xdr:colOff>104640</xdr:colOff>
      <xdr:row>7</xdr:row>
      <xdr:rowOff>131940</xdr:rowOff>
    </xdr:to>
    <xdr:sp macro="" textlink="">
      <xdr:nvSpPr>
        <xdr:cNvPr id="10" name="Rectangle: Rounded Corners 9">
          <a:extLst>
            <a:ext uri="{FF2B5EF4-FFF2-40B4-BE49-F238E27FC236}">
              <a16:creationId xmlns:a16="http://schemas.microsoft.com/office/drawing/2014/main" id="{D811D155-2980-4C27-B3FB-A8CA7FB08DAA}"/>
            </a:ext>
          </a:extLst>
        </xdr:cNvPr>
        <xdr:cNvSpPr/>
      </xdr:nvSpPr>
      <xdr:spPr>
        <a:xfrm>
          <a:off x="5120640" y="800100"/>
          <a:ext cx="1080000" cy="612000"/>
        </a:xfrm>
        <a:prstGeom prst="roundRect">
          <a:avLst/>
        </a:prstGeom>
        <a:solidFill>
          <a:srgbClr val="9BBB59"/>
        </a:solidFill>
        <a:ln w="25400" cap="flat" cmpd="sng" algn="ctr">
          <a:solidFill>
            <a:srgbClr val="4F81BD">
              <a:shade val="15000"/>
            </a:srgbClr>
          </a:solidFill>
          <a:prstDash val="soli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rgbClr val="C00000"/>
              </a:solidFill>
              <a:effectLst/>
              <a:uLnTx/>
              <a:uFillTx/>
              <a:latin typeface="Calibri"/>
              <a:ea typeface="+mn-ea"/>
              <a:cs typeface="+mn-cs"/>
            </a:rPr>
            <a:t>Lowest   Sales ₹7,800</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1" i="0" u="none" strike="noStrike" kern="0" cap="none" spc="0" normalizeH="0" baseline="0" noProof="0">
            <a:ln>
              <a:noFill/>
            </a:ln>
            <a:solidFill>
              <a:srgbClr val="C00000"/>
            </a:solidFill>
            <a:effectLst/>
            <a:uLnTx/>
            <a:uFillTx/>
            <a:latin typeface="Calibri"/>
            <a:ea typeface="+mn-ea"/>
            <a:cs typeface="+mn-cs"/>
          </a:endParaRPr>
        </a:p>
      </xdr:txBody>
    </xdr:sp>
    <xdr:clientData/>
  </xdr:twoCellAnchor>
  <xdr:twoCellAnchor>
    <xdr:from>
      <xdr:col>0</xdr:col>
      <xdr:colOff>99060</xdr:colOff>
      <xdr:row>8</xdr:row>
      <xdr:rowOff>114300</xdr:rowOff>
    </xdr:from>
    <xdr:to>
      <xdr:col>7</xdr:col>
      <xdr:colOff>367860</xdr:colOff>
      <xdr:row>23</xdr:row>
      <xdr:rowOff>107100</xdr:rowOff>
    </xdr:to>
    <xdr:graphicFrame macro="">
      <xdr:nvGraphicFramePr>
        <xdr:cNvPr id="12" name="Chart 11">
          <a:extLst>
            <a:ext uri="{FF2B5EF4-FFF2-40B4-BE49-F238E27FC236}">
              <a16:creationId xmlns:a16="http://schemas.microsoft.com/office/drawing/2014/main" id="{DADEB15C-5561-4FE9-852F-C468533A4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495300</xdr:colOff>
      <xdr:row>8</xdr:row>
      <xdr:rowOff>99060</xdr:rowOff>
    </xdr:from>
    <xdr:to>
      <xdr:col>15</xdr:col>
      <xdr:colOff>154500</xdr:colOff>
      <xdr:row>23</xdr:row>
      <xdr:rowOff>91860</xdr:rowOff>
    </xdr:to>
    <xdr:graphicFrame macro="">
      <xdr:nvGraphicFramePr>
        <xdr:cNvPr id="15" name="Chart 14">
          <a:extLst>
            <a:ext uri="{FF2B5EF4-FFF2-40B4-BE49-F238E27FC236}">
              <a16:creationId xmlns:a16="http://schemas.microsoft.com/office/drawing/2014/main" id="{8DE23D5C-25E3-49FA-B9EC-2B4E08EE3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24</xdr:row>
      <xdr:rowOff>53340</xdr:rowOff>
    </xdr:from>
    <xdr:to>
      <xdr:col>7</xdr:col>
      <xdr:colOff>360240</xdr:colOff>
      <xdr:row>39</xdr:row>
      <xdr:rowOff>46140</xdr:rowOff>
    </xdr:to>
    <xdr:graphicFrame macro="">
      <xdr:nvGraphicFramePr>
        <xdr:cNvPr id="18" name="Chart 17">
          <a:extLst>
            <a:ext uri="{FF2B5EF4-FFF2-40B4-BE49-F238E27FC236}">
              <a16:creationId xmlns:a16="http://schemas.microsoft.com/office/drawing/2014/main" id="{9239E5F1-3079-4382-B05D-8E80DCC3C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24</xdr:row>
      <xdr:rowOff>38100</xdr:rowOff>
    </xdr:from>
    <xdr:to>
      <xdr:col>15</xdr:col>
      <xdr:colOff>78300</xdr:colOff>
      <xdr:row>39</xdr:row>
      <xdr:rowOff>30900</xdr:rowOff>
    </xdr:to>
    <xdr:graphicFrame macro="">
      <xdr:nvGraphicFramePr>
        <xdr:cNvPr id="20" name="Chart 19">
          <a:extLst>
            <a:ext uri="{FF2B5EF4-FFF2-40B4-BE49-F238E27FC236}">
              <a16:creationId xmlns:a16="http://schemas.microsoft.com/office/drawing/2014/main" id="{7934BB69-6624-4522-B346-3CAB49528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152400</xdr:colOff>
      <xdr:row>24</xdr:row>
      <xdr:rowOff>53340</xdr:rowOff>
    </xdr:from>
    <xdr:to>
      <xdr:col>18</xdr:col>
      <xdr:colOff>152400</xdr:colOff>
      <xdr:row>39</xdr:row>
      <xdr:rowOff>10140</xdr:rowOff>
    </xdr:to>
    <mc:AlternateContent xmlns:mc="http://schemas.openxmlformats.org/markup-compatibility/2006">
      <mc:Choice xmlns:a14="http://schemas.microsoft.com/office/drawing/2010/main" Requires="a14">
        <xdr:graphicFrame macro="">
          <xdr:nvGraphicFramePr>
            <xdr:cNvPr id="21" name="Category 1">
              <a:extLst>
                <a:ext uri="{FF2B5EF4-FFF2-40B4-BE49-F238E27FC236}">
                  <a16:creationId xmlns:a16="http://schemas.microsoft.com/office/drawing/2014/main" id="{239098F7-0DB9-41CF-AA05-21C5F825D7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296400" y="4442460"/>
              <a:ext cx="1828800" cy="27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24</xdr:row>
      <xdr:rowOff>53339</xdr:rowOff>
    </xdr:from>
    <xdr:to>
      <xdr:col>21</xdr:col>
      <xdr:colOff>190500</xdr:colOff>
      <xdr:row>39</xdr:row>
      <xdr:rowOff>10139</xdr:rowOff>
    </xdr:to>
    <mc:AlternateContent xmlns:mc="http://schemas.openxmlformats.org/markup-compatibility/2006">
      <mc:Choice xmlns:a14="http://schemas.microsoft.com/office/drawing/2010/main" Requires="a14">
        <xdr:graphicFrame macro="">
          <xdr:nvGraphicFramePr>
            <xdr:cNvPr id="22" name="City 1">
              <a:extLst>
                <a:ext uri="{FF2B5EF4-FFF2-40B4-BE49-F238E27FC236}">
                  <a16:creationId xmlns:a16="http://schemas.microsoft.com/office/drawing/2014/main" id="{DBDBE92C-35F1-4264-A210-6D512FAB123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1163300" y="4442459"/>
              <a:ext cx="1828800" cy="27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243840</xdr:colOff>
      <xdr:row>24</xdr:row>
      <xdr:rowOff>45719</xdr:rowOff>
    </xdr:from>
    <xdr:to>
      <xdr:col>24</xdr:col>
      <xdr:colOff>243840</xdr:colOff>
      <xdr:row>39</xdr:row>
      <xdr:rowOff>2519</xdr:rowOff>
    </xdr:to>
    <mc:AlternateContent xmlns:mc="http://schemas.openxmlformats.org/markup-compatibility/2006">
      <mc:Choice xmlns:a14="http://schemas.microsoft.com/office/drawing/2010/main" Requires="a14">
        <xdr:graphicFrame macro="">
          <xdr:nvGraphicFramePr>
            <xdr:cNvPr id="23" name="Channel 1">
              <a:extLst>
                <a:ext uri="{FF2B5EF4-FFF2-40B4-BE49-F238E27FC236}">
                  <a16:creationId xmlns:a16="http://schemas.microsoft.com/office/drawing/2014/main" id="{DB282440-D8B5-4054-94EB-1C45F8B40AE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3045440" y="4434839"/>
              <a:ext cx="1828800" cy="27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213360</xdr:colOff>
      <xdr:row>8</xdr:row>
      <xdr:rowOff>45720</xdr:rowOff>
    </xdr:from>
    <xdr:to>
      <xdr:col>22</xdr:col>
      <xdr:colOff>482160</xdr:colOff>
      <xdr:row>23</xdr:row>
      <xdr:rowOff>38520</xdr:rowOff>
    </xdr:to>
    <xdr:graphicFrame macro="">
      <xdr:nvGraphicFramePr>
        <xdr:cNvPr id="25" name="Chart 24">
          <a:extLst>
            <a:ext uri="{FF2B5EF4-FFF2-40B4-BE49-F238E27FC236}">
              <a16:creationId xmlns:a16="http://schemas.microsoft.com/office/drawing/2014/main" id="{21D9C09E-C1DE-411C-943B-59C55B1D2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0.34833</cdr:x>
      <cdr:y>0.02841</cdr:y>
    </cdr:from>
    <cdr:to>
      <cdr:x>0.64992</cdr:x>
      <cdr:y>0.12051</cdr:y>
    </cdr:to>
    <cdr:sp macro="" textlink="">
      <cdr:nvSpPr>
        <cdr:cNvPr id="2" name="Rectangle: Rounded Corners 1">
          <a:extLst xmlns:a="http://schemas.openxmlformats.org/drawingml/2006/main">
            <a:ext uri="{FF2B5EF4-FFF2-40B4-BE49-F238E27FC236}">
              <a16:creationId xmlns:a16="http://schemas.microsoft.com/office/drawing/2014/main" id="{A513949E-A270-F133-559F-740FD3CC438A}"/>
            </a:ext>
          </a:extLst>
        </cdr:cNvPr>
        <cdr:cNvSpPr/>
      </cdr:nvSpPr>
      <cdr:spPr>
        <a:xfrm xmlns:a="http://schemas.openxmlformats.org/drawingml/2006/main">
          <a:off x="1580025" y="77729"/>
          <a:ext cx="1368000" cy="252000"/>
        </a:xfrm>
        <a:prstGeom xmlns:a="http://schemas.openxmlformats.org/drawingml/2006/main" prst="roundRect">
          <a:avLst/>
        </a:prstGeom>
        <a:solidFill xmlns:a="http://schemas.openxmlformats.org/drawingml/2006/main">
          <a:schemeClr val="accent3"/>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200" b="1">
              <a:solidFill>
                <a:srgbClr val="C00000"/>
              </a:solidFill>
            </a:rPr>
            <a:t>Category-wise</a:t>
          </a:r>
          <a:r>
            <a:rPr lang="en-IN" sz="1100"/>
            <a:t> </a:t>
          </a:r>
          <a:r>
            <a:rPr lang="en-IN" sz="1100" b="1">
              <a:solidFill>
                <a:srgbClr val="C00000"/>
              </a:solidFill>
            </a:rPr>
            <a:t>Sales</a:t>
          </a:r>
          <a:endParaRPr lang="en-IN" sz="1100" b="1" kern="1200">
            <a:solidFill>
              <a:srgbClr val="C00000"/>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0.4066</cdr:x>
      <cdr:y>0.03638</cdr:y>
    </cdr:from>
    <cdr:to>
      <cdr:x>0.69231</cdr:x>
      <cdr:y>0.14164</cdr:y>
    </cdr:to>
    <cdr:sp macro="" textlink="">
      <cdr:nvSpPr>
        <cdr:cNvPr id="2" name="Rectangle: Rounded Corners 1">
          <a:extLst xmlns:a="http://schemas.openxmlformats.org/drawingml/2006/main">
            <a:ext uri="{FF2B5EF4-FFF2-40B4-BE49-F238E27FC236}">
              <a16:creationId xmlns:a16="http://schemas.microsoft.com/office/drawing/2014/main" id="{911E0AAD-69CF-F9C1-7638-16ED82A55495}"/>
            </a:ext>
          </a:extLst>
        </cdr:cNvPr>
        <cdr:cNvSpPr/>
      </cdr:nvSpPr>
      <cdr:spPr>
        <a:xfrm xmlns:a="http://schemas.openxmlformats.org/drawingml/2006/main">
          <a:off x="1844335" y="99535"/>
          <a:ext cx="1296000" cy="288000"/>
        </a:xfrm>
        <a:prstGeom xmlns:a="http://schemas.openxmlformats.org/drawingml/2006/main" prst="roundRect">
          <a:avLst/>
        </a:prstGeom>
        <a:solidFill xmlns:a="http://schemas.openxmlformats.org/drawingml/2006/main">
          <a:schemeClr val="accent3"/>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100" b="1">
              <a:solidFill>
                <a:srgbClr val="C00000"/>
              </a:solidFill>
            </a:rPr>
            <a:t>City-wise Sales</a:t>
          </a:r>
          <a:endParaRPr lang="en-IN" sz="1100" b="1" kern="1200">
            <a:solidFill>
              <a:srgbClr val="C00000"/>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0.39167</cdr:x>
      <cdr:y>0.025</cdr:y>
    </cdr:from>
    <cdr:to>
      <cdr:x>0.70724</cdr:x>
      <cdr:y>0.11667</cdr:y>
    </cdr:to>
    <cdr:sp macro="" textlink="">
      <cdr:nvSpPr>
        <cdr:cNvPr id="2" name="Rectangle: Rounded Corners 1">
          <a:extLst xmlns:a="http://schemas.openxmlformats.org/drawingml/2006/main">
            <a:ext uri="{FF2B5EF4-FFF2-40B4-BE49-F238E27FC236}">
              <a16:creationId xmlns:a16="http://schemas.microsoft.com/office/drawing/2014/main" id="{110805EC-A4DB-9074-48DC-497775A2D3DF}"/>
            </a:ext>
          </a:extLst>
        </cdr:cNvPr>
        <cdr:cNvSpPr/>
      </cdr:nvSpPr>
      <cdr:spPr>
        <a:xfrm xmlns:a="http://schemas.openxmlformats.org/drawingml/2006/main">
          <a:off x="1776614" y="68400"/>
          <a:ext cx="1431405" cy="250809"/>
        </a:xfrm>
        <a:prstGeom xmlns:a="http://schemas.openxmlformats.org/drawingml/2006/main" prst="roundRect">
          <a:avLst/>
        </a:prstGeom>
        <a:solidFill xmlns:a="http://schemas.openxmlformats.org/drawingml/2006/main">
          <a:schemeClr val="accent3"/>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rgbClr val="C00000"/>
              </a:solidFill>
            </a:rPr>
            <a:t>Channel-wise Sales</a:t>
          </a:r>
        </a:p>
        <a:p xmlns:a="http://schemas.openxmlformats.org/drawingml/2006/main">
          <a:pPr algn="ctr"/>
          <a:endParaRPr lang="en-IN" sz="1100" b="1" kern="1200">
            <a:solidFill>
              <a:srgbClr val="C00000"/>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0.31157</cdr:x>
      <cdr:y>0.01108</cdr:y>
    </cdr:from>
    <cdr:to>
      <cdr:x>0.60522</cdr:x>
      <cdr:y>0.10318</cdr:y>
    </cdr:to>
    <cdr:sp macro="" textlink="">
      <cdr:nvSpPr>
        <cdr:cNvPr id="2" name="Rectangle: Rounded Corners 1">
          <a:extLst xmlns:a="http://schemas.openxmlformats.org/drawingml/2006/main">
            <a:ext uri="{FF2B5EF4-FFF2-40B4-BE49-F238E27FC236}">
              <a16:creationId xmlns:a16="http://schemas.microsoft.com/office/drawing/2014/main" id="{A254B79E-FED1-9059-5DF3-86F26CFB0E5E}"/>
            </a:ext>
          </a:extLst>
        </cdr:cNvPr>
        <cdr:cNvSpPr/>
      </cdr:nvSpPr>
      <cdr:spPr>
        <a:xfrm xmlns:a="http://schemas.openxmlformats.org/drawingml/2006/main">
          <a:off x="1413285" y="30314"/>
          <a:ext cx="1332000" cy="252000"/>
        </a:xfrm>
        <a:prstGeom xmlns:a="http://schemas.openxmlformats.org/drawingml/2006/main" prst="roundRect">
          <a:avLst/>
        </a:prstGeom>
        <a:solidFill xmlns:a="http://schemas.openxmlformats.org/drawingml/2006/main">
          <a:schemeClr val="accent3"/>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b="1">
              <a:solidFill>
                <a:srgbClr val="C00000"/>
              </a:solidFill>
            </a:rPr>
            <a:t>Product-wise</a:t>
          </a:r>
          <a:r>
            <a:rPr lang="en-IN" b="1"/>
            <a:t> </a:t>
          </a:r>
          <a:r>
            <a:rPr lang="en-IN" b="1">
              <a:solidFill>
                <a:srgbClr val="C00000"/>
              </a:solidFill>
            </a:rPr>
            <a:t>Sales</a:t>
          </a:r>
          <a:endParaRPr lang="en-IN" b="1" kern="1200">
            <a:solidFill>
              <a:srgbClr val="C00000"/>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0.365</cdr:x>
      <cdr:y>0.01823</cdr:y>
    </cdr:from>
    <cdr:to>
      <cdr:x>0.67333</cdr:x>
      <cdr:y>0.125</cdr:y>
    </cdr:to>
    <cdr:sp macro="" textlink="">
      <cdr:nvSpPr>
        <cdr:cNvPr id="2" name="Rectangle: Rounded Corners 1">
          <a:extLst xmlns:a="http://schemas.openxmlformats.org/drawingml/2006/main">
            <a:ext uri="{FF2B5EF4-FFF2-40B4-BE49-F238E27FC236}">
              <a16:creationId xmlns:a16="http://schemas.microsoft.com/office/drawing/2014/main" id="{E61B8A36-5035-91A9-B4AB-4BD401FE9451}"/>
            </a:ext>
          </a:extLst>
        </cdr:cNvPr>
        <cdr:cNvSpPr/>
      </cdr:nvSpPr>
      <cdr:spPr>
        <a:xfrm xmlns:a="http://schemas.openxmlformats.org/drawingml/2006/main">
          <a:off x="1668780" y="53341"/>
          <a:ext cx="1409700" cy="312419"/>
        </a:xfrm>
        <a:prstGeom xmlns:a="http://schemas.openxmlformats.org/drawingml/2006/main" prst="roundRect">
          <a:avLst/>
        </a:prstGeom>
        <a:solidFill xmlns:a="http://schemas.openxmlformats.org/drawingml/2006/main">
          <a:schemeClr val="accent3"/>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100" b="1">
              <a:solidFill>
                <a:srgbClr val="C00000"/>
              </a:solidFill>
            </a:rPr>
            <a:t>City &amp; Channel Sales</a:t>
          </a:r>
          <a:endParaRPr lang="en-IN" sz="1100" b="1" kern="1200">
            <a:solidFill>
              <a:srgbClr val="C000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248.967080787035" createdVersion="8" refreshedVersion="8" minRefreshableVersion="3" recordCount="50" xr:uid="{613BCFFD-1CEE-4CEB-8988-17E00444E451}">
  <cacheSource type="worksheet">
    <worksheetSource name="SalesData"/>
  </cacheSource>
  <cacheFields count="8">
    <cacheField name="Date" numFmtId="14">
      <sharedItems/>
    </cacheField>
    <cacheField name="City" numFmtId="0">
      <sharedItems count="7">
        <s v="Chennai"/>
        <s v="Bangalore"/>
        <s v="Hyderabad"/>
        <s v="Mumbai"/>
        <s v="Delhi"/>
        <s v="Pune"/>
        <s v="Kolkata"/>
      </sharedItems>
    </cacheField>
    <cacheField name="Category" numFmtId="0">
      <sharedItems count="4">
        <s v="Electronics"/>
        <s v="Furniture"/>
        <s v="Clothing"/>
        <s v="Beauty"/>
      </sharedItems>
    </cacheField>
    <cacheField name="Product" numFmtId="0">
      <sharedItems count="28">
        <s v="Laptop"/>
        <s v="Office Chair"/>
        <s v="Headphones"/>
        <s v="Jeans"/>
        <s v="Face Wash"/>
        <s v="Smartphone"/>
        <s v="Study Table"/>
        <s v="T-Shirt"/>
        <s v="Shampoo"/>
        <s v="Keyboard"/>
        <s v="Bookshelf"/>
        <s v="Kurti"/>
        <s v="Perfume"/>
        <s v="Monitor"/>
        <s v="Dining Chair"/>
        <s v="Shirt"/>
        <s v="Moisturizer"/>
        <s v="Tablet"/>
        <s v="Sofa"/>
        <s v="Saree"/>
        <s v="Mouse"/>
        <s v="Lipstick"/>
        <s v="Wardrobe"/>
        <s v="Jacket"/>
        <s v="Printer"/>
        <s v="Face Cream"/>
        <s v="Smartwatch"/>
        <s v="Sunscreen"/>
      </sharedItems>
    </cacheField>
    <cacheField name="Quantity" numFmtId="0">
      <sharedItems containsSemiMixedTypes="0" containsString="0" containsNumber="1" containsInteger="1" minValue="1" maxValue="25"/>
    </cacheField>
    <cacheField name="Unit Price" numFmtId="1">
      <sharedItems containsSemiMixedTypes="0" containsString="0" containsNumber="1" containsInteger="1" minValue="450" maxValue="55000"/>
    </cacheField>
    <cacheField name="Sales" numFmtId="167">
      <sharedItems containsSemiMixedTypes="0" containsString="0" containsNumber="1" containsInteger="1" minValue="7800" maxValue="112000"/>
    </cacheField>
    <cacheField name="Channel" numFmtId="0">
      <sharedItems count="2">
        <s v="Online"/>
        <s v="Store"/>
      </sharedItems>
    </cacheField>
  </cacheFields>
  <extLst>
    <ext xmlns:x14="http://schemas.microsoft.com/office/spreadsheetml/2009/9/main" uri="{725AE2AE-9491-48be-B2B4-4EB974FC3084}">
      <x14:pivotCacheDefinition pivotCacheId="155699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2026-01-03"/>
    <x v="0"/>
    <x v="0"/>
    <x v="0"/>
    <n v="2"/>
    <n v="55000"/>
    <n v="110000"/>
    <x v="0"/>
  </r>
  <r>
    <s v="2026-01-05"/>
    <x v="1"/>
    <x v="1"/>
    <x v="1"/>
    <n v="5"/>
    <n v="7500"/>
    <n v="37500"/>
    <x v="1"/>
  </r>
  <r>
    <s v="2026-01-07"/>
    <x v="2"/>
    <x v="0"/>
    <x v="2"/>
    <n v="8"/>
    <n v="2200"/>
    <n v="17600"/>
    <x v="0"/>
  </r>
  <r>
    <s v="2026-01-09"/>
    <x v="0"/>
    <x v="2"/>
    <x v="3"/>
    <n v="12"/>
    <n v="1800"/>
    <n v="21600"/>
    <x v="1"/>
  </r>
  <r>
    <s v="2026-01-11"/>
    <x v="3"/>
    <x v="3"/>
    <x v="4"/>
    <n v="20"/>
    <n v="450"/>
    <n v="9000"/>
    <x v="0"/>
  </r>
  <r>
    <s v="2026-01-13"/>
    <x v="4"/>
    <x v="0"/>
    <x v="5"/>
    <n v="4"/>
    <n v="28000"/>
    <n v="112000"/>
    <x v="0"/>
  </r>
  <r>
    <s v="2026-01-15"/>
    <x v="5"/>
    <x v="1"/>
    <x v="6"/>
    <n v="3"/>
    <n v="9000"/>
    <n v="27000"/>
    <x v="1"/>
  </r>
  <r>
    <s v="2026-01-17"/>
    <x v="6"/>
    <x v="2"/>
    <x v="7"/>
    <n v="18"/>
    <n v="850"/>
    <n v="15300"/>
    <x v="0"/>
  </r>
  <r>
    <s v="2026-01-19"/>
    <x v="0"/>
    <x v="3"/>
    <x v="8"/>
    <n v="15"/>
    <n v="520"/>
    <n v="7800"/>
    <x v="1"/>
  </r>
  <r>
    <s v="2026-01-21"/>
    <x v="1"/>
    <x v="0"/>
    <x v="9"/>
    <n v="10"/>
    <n v="1600"/>
    <n v="16000"/>
    <x v="0"/>
  </r>
  <r>
    <s v="2026-01-23"/>
    <x v="2"/>
    <x v="1"/>
    <x v="10"/>
    <n v="4"/>
    <n v="6200"/>
    <n v="24800"/>
    <x v="1"/>
  </r>
  <r>
    <s v="2026-01-25"/>
    <x v="3"/>
    <x v="2"/>
    <x v="11"/>
    <n v="10"/>
    <n v="1450"/>
    <n v="14500"/>
    <x v="0"/>
  </r>
  <r>
    <s v="2026-01-27"/>
    <x v="4"/>
    <x v="3"/>
    <x v="12"/>
    <n v="7"/>
    <n v="2100"/>
    <n v="14700"/>
    <x v="1"/>
  </r>
  <r>
    <s v="2026-01-29"/>
    <x v="5"/>
    <x v="0"/>
    <x v="13"/>
    <n v="5"/>
    <n v="14500"/>
    <n v="72500"/>
    <x v="0"/>
  </r>
  <r>
    <s v="2026-02-02"/>
    <x v="0"/>
    <x v="1"/>
    <x v="14"/>
    <n v="8"/>
    <n v="3200"/>
    <n v="25600"/>
    <x v="1"/>
  </r>
  <r>
    <s v="2026-02-04"/>
    <x v="1"/>
    <x v="2"/>
    <x v="15"/>
    <n v="14"/>
    <n v="1200"/>
    <n v="16800"/>
    <x v="0"/>
  </r>
  <r>
    <s v="2026-02-06"/>
    <x v="2"/>
    <x v="3"/>
    <x v="16"/>
    <n v="16"/>
    <n v="680"/>
    <n v="10880"/>
    <x v="0"/>
  </r>
  <r>
    <s v="2026-02-08"/>
    <x v="3"/>
    <x v="0"/>
    <x v="17"/>
    <n v="3"/>
    <n v="22000"/>
    <n v="66000"/>
    <x v="1"/>
  </r>
  <r>
    <s v="2026-02-10"/>
    <x v="4"/>
    <x v="1"/>
    <x v="18"/>
    <n v="2"/>
    <n v="28000"/>
    <n v="56000"/>
    <x v="1"/>
  </r>
  <r>
    <s v="2026-02-12"/>
    <x v="5"/>
    <x v="2"/>
    <x v="19"/>
    <n v="6"/>
    <n v="3200"/>
    <n v="19200"/>
    <x v="0"/>
  </r>
  <r>
    <s v="2026-02-14"/>
    <x v="0"/>
    <x v="0"/>
    <x v="20"/>
    <n v="20"/>
    <n v="900"/>
    <n v="18000"/>
    <x v="0"/>
  </r>
  <r>
    <s v="2026-02-16"/>
    <x v="1"/>
    <x v="3"/>
    <x v="21"/>
    <n v="25"/>
    <n v="550"/>
    <n v="13750"/>
    <x v="1"/>
  </r>
  <r>
    <s v="2026-02-18"/>
    <x v="2"/>
    <x v="1"/>
    <x v="22"/>
    <n v="2"/>
    <n v="24000"/>
    <n v="48000"/>
    <x v="0"/>
  </r>
  <r>
    <s v="2026-02-20"/>
    <x v="3"/>
    <x v="2"/>
    <x v="23"/>
    <n v="5"/>
    <n v="2800"/>
    <n v="14000"/>
    <x v="1"/>
  </r>
  <r>
    <s v="2026-02-22"/>
    <x v="4"/>
    <x v="0"/>
    <x v="24"/>
    <n v="4"/>
    <n v="12500"/>
    <n v="50000"/>
    <x v="0"/>
  </r>
  <r>
    <s v="2026-02-24"/>
    <x v="5"/>
    <x v="3"/>
    <x v="25"/>
    <n v="18"/>
    <n v="750"/>
    <n v="13500"/>
    <x v="1"/>
  </r>
  <r>
    <s v="2026-02-26"/>
    <x v="0"/>
    <x v="1"/>
    <x v="10"/>
    <n v="5"/>
    <n v="6200"/>
    <n v="31000"/>
    <x v="0"/>
  </r>
  <r>
    <s v="2026-02-28"/>
    <x v="1"/>
    <x v="2"/>
    <x v="3"/>
    <n v="9"/>
    <n v="1800"/>
    <n v="16200"/>
    <x v="1"/>
  </r>
  <r>
    <s v="2026-03-02"/>
    <x v="2"/>
    <x v="0"/>
    <x v="26"/>
    <n v="6"/>
    <n v="6500"/>
    <n v="39000"/>
    <x v="0"/>
  </r>
  <r>
    <s v="2026-03-04"/>
    <x v="3"/>
    <x v="3"/>
    <x v="27"/>
    <n v="14"/>
    <n v="820"/>
    <n v="11480"/>
    <x v="0"/>
  </r>
  <r>
    <s v="2026-03-06"/>
    <x v="4"/>
    <x v="1"/>
    <x v="1"/>
    <n v="7"/>
    <n v="7500"/>
    <n v="52500"/>
    <x v="1"/>
  </r>
  <r>
    <s v="2026-03-08"/>
    <x v="5"/>
    <x v="2"/>
    <x v="7"/>
    <n v="20"/>
    <n v="850"/>
    <n v="17000"/>
    <x v="0"/>
  </r>
  <r>
    <s v="2026-03-10"/>
    <x v="0"/>
    <x v="0"/>
    <x v="0"/>
    <n v="1"/>
    <n v="55000"/>
    <n v="55000"/>
    <x v="1"/>
  </r>
  <r>
    <s v="2026-03-12"/>
    <x v="1"/>
    <x v="1"/>
    <x v="6"/>
    <n v="4"/>
    <n v="9000"/>
    <n v="36000"/>
    <x v="0"/>
  </r>
  <r>
    <s v="2026-03-14"/>
    <x v="2"/>
    <x v="3"/>
    <x v="8"/>
    <n v="22"/>
    <n v="520"/>
    <n v="11440"/>
    <x v="1"/>
  </r>
  <r>
    <s v="2026-03-16"/>
    <x v="3"/>
    <x v="0"/>
    <x v="2"/>
    <n v="12"/>
    <n v="2200"/>
    <n v="26400"/>
    <x v="0"/>
  </r>
  <r>
    <s v="2026-03-18"/>
    <x v="4"/>
    <x v="2"/>
    <x v="11"/>
    <n v="11"/>
    <n v="1450"/>
    <n v="15950"/>
    <x v="1"/>
  </r>
  <r>
    <s v="2026-03-20"/>
    <x v="5"/>
    <x v="1"/>
    <x v="14"/>
    <n v="10"/>
    <n v="3200"/>
    <n v="32000"/>
    <x v="0"/>
  </r>
  <r>
    <s v="2026-03-22"/>
    <x v="0"/>
    <x v="3"/>
    <x v="12"/>
    <n v="8"/>
    <n v="2100"/>
    <n v="16800"/>
    <x v="1"/>
  </r>
  <r>
    <s v="2026-03-24"/>
    <x v="1"/>
    <x v="0"/>
    <x v="13"/>
    <n v="4"/>
    <n v="14500"/>
    <n v="58000"/>
    <x v="0"/>
  </r>
  <r>
    <s v="2026-03-26"/>
    <x v="2"/>
    <x v="2"/>
    <x v="19"/>
    <n v="7"/>
    <n v="3200"/>
    <n v="22400"/>
    <x v="1"/>
  </r>
  <r>
    <s v="2026-03-28"/>
    <x v="3"/>
    <x v="1"/>
    <x v="18"/>
    <n v="1"/>
    <n v="28000"/>
    <n v="28000"/>
    <x v="0"/>
  </r>
  <r>
    <s v="2026-03-30"/>
    <x v="4"/>
    <x v="3"/>
    <x v="16"/>
    <n v="20"/>
    <n v="680"/>
    <n v="13600"/>
    <x v="1"/>
  </r>
  <r>
    <s v="2026-04-01"/>
    <x v="5"/>
    <x v="0"/>
    <x v="17"/>
    <n v="4"/>
    <n v="22000"/>
    <n v="88000"/>
    <x v="0"/>
  </r>
  <r>
    <s v="2026-04-03"/>
    <x v="0"/>
    <x v="2"/>
    <x v="15"/>
    <n v="16"/>
    <n v="1200"/>
    <n v="19200"/>
    <x v="1"/>
  </r>
  <r>
    <s v="2026-04-05"/>
    <x v="1"/>
    <x v="1"/>
    <x v="22"/>
    <n v="3"/>
    <n v="24000"/>
    <n v="72000"/>
    <x v="0"/>
  </r>
  <r>
    <s v="2026-04-07"/>
    <x v="2"/>
    <x v="0"/>
    <x v="24"/>
    <n v="3"/>
    <n v="12500"/>
    <n v="37500"/>
    <x v="1"/>
  </r>
  <r>
    <s v="2026-04-09"/>
    <x v="3"/>
    <x v="3"/>
    <x v="4"/>
    <n v="24"/>
    <n v="450"/>
    <n v="10800"/>
    <x v="0"/>
  </r>
  <r>
    <s v="2026-04-11"/>
    <x v="4"/>
    <x v="2"/>
    <x v="23"/>
    <n v="6"/>
    <n v="2800"/>
    <n v="16800"/>
    <x v="1"/>
  </r>
  <r>
    <s v="2026-04-13"/>
    <x v="5"/>
    <x v="0"/>
    <x v="9"/>
    <n v="15"/>
    <n v="1600"/>
    <n v="24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FDB729-0005-4787-ABDD-9A059A146F47}" name="PivotTable3" cacheId="17"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8">
  <location ref="A20:B41" firstHeaderRow="1" firstDataRow="1" firstDataCol="1"/>
  <pivotFields count="8">
    <pivotField showAll="0"/>
    <pivotField axis="axisRow" showAll="0">
      <items count="8">
        <item x="1"/>
        <item x="0"/>
        <item x="4"/>
        <item x="2"/>
        <item x="6"/>
        <item x="3"/>
        <item x="5"/>
        <item t="default"/>
      </items>
    </pivotField>
    <pivotField showAll="0">
      <items count="5">
        <item x="3"/>
        <item x="2"/>
        <item x="0"/>
        <item x="1"/>
        <item t="default"/>
      </items>
    </pivotField>
    <pivotField showAll="0"/>
    <pivotField showAll="0"/>
    <pivotField numFmtId="1" showAll="0"/>
    <pivotField dataField="1" numFmtId="167" showAll="0"/>
    <pivotField axis="axisRow" showAll="0">
      <items count="3">
        <item x="0"/>
        <item x="1"/>
        <item t="default"/>
      </items>
    </pivotField>
  </pivotFields>
  <rowFields count="2">
    <field x="1"/>
    <field x="7"/>
  </rowFields>
  <rowItems count="21">
    <i>
      <x/>
    </i>
    <i r="1">
      <x/>
    </i>
    <i r="1">
      <x v="1"/>
    </i>
    <i>
      <x v="1"/>
    </i>
    <i r="1">
      <x/>
    </i>
    <i r="1">
      <x v="1"/>
    </i>
    <i>
      <x v="2"/>
    </i>
    <i r="1">
      <x/>
    </i>
    <i r="1">
      <x v="1"/>
    </i>
    <i>
      <x v="3"/>
    </i>
    <i r="1">
      <x/>
    </i>
    <i r="1">
      <x v="1"/>
    </i>
    <i>
      <x v="4"/>
    </i>
    <i r="1">
      <x/>
    </i>
    <i>
      <x v="5"/>
    </i>
    <i r="1">
      <x/>
    </i>
    <i r="1">
      <x v="1"/>
    </i>
    <i>
      <x v="6"/>
    </i>
    <i r="1">
      <x/>
    </i>
    <i r="1">
      <x v="1"/>
    </i>
    <i t="grand">
      <x/>
    </i>
  </rowItems>
  <colItems count="1">
    <i/>
  </colItems>
  <dataFields count="1">
    <dataField name="Sum of Sales" fld="6" baseField="0" baseItem="0" numFmtId="167"/>
  </dataFields>
  <chartFormats count="5">
    <chartFormat chart="11" format="5"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451D5-1C08-4F50-BAFC-25C77EE4CD5F}" name="PivotTable5" cacheId="17"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6">
  <location ref="A48:B77" firstHeaderRow="1" firstDataRow="1" firstDataCol="1"/>
  <pivotFields count="8">
    <pivotField showAll="0"/>
    <pivotField showAll="0">
      <items count="8">
        <item x="1"/>
        <item x="0"/>
        <item x="4"/>
        <item x="2"/>
        <item x="6"/>
        <item x="3"/>
        <item x="5"/>
        <item t="default"/>
      </items>
    </pivotField>
    <pivotField showAll="0">
      <items count="5">
        <item x="3"/>
        <item x="2"/>
        <item x="0"/>
        <item x="1"/>
        <item t="default"/>
      </items>
    </pivotField>
    <pivotField axis="axisRow" showAll="0">
      <items count="29">
        <item x="10"/>
        <item x="14"/>
        <item x="25"/>
        <item x="4"/>
        <item x="2"/>
        <item x="23"/>
        <item x="3"/>
        <item x="9"/>
        <item x="11"/>
        <item x="0"/>
        <item x="21"/>
        <item x="16"/>
        <item x="13"/>
        <item x="20"/>
        <item x="1"/>
        <item x="12"/>
        <item x="24"/>
        <item x="19"/>
        <item x="8"/>
        <item x="15"/>
        <item x="5"/>
        <item x="26"/>
        <item x="18"/>
        <item x="6"/>
        <item x="27"/>
        <item x="17"/>
        <item x="7"/>
        <item x="22"/>
        <item t="default"/>
      </items>
    </pivotField>
    <pivotField showAll="0"/>
    <pivotField numFmtId="1" showAll="0"/>
    <pivotField dataField="1" numFmtId="167" showAll="0"/>
    <pivotField showAll="0">
      <items count="3">
        <item x="0"/>
        <item x="1"/>
        <item t="default"/>
      </items>
    </pivotField>
  </pivotFields>
  <rowFields count="1">
    <field x="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ales" fld="6" baseField="0" baseItem="0" numFmtId="167"/>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4527F1-A885-41BB-83D2-25F887E216E6}"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3:B46" firstHeaderRow="1" firstDataRow="1" firstDataCol="1"/>
  <pivotFields count="8">
    <pivotField showAll="0"/>
    <pivotField showAll="0">
      <items count="8">
        <item x="1"/>
        <item x="0"/>
        <item x="4"/>
        <item x="2"/>
        <item x="6"/>
        <item x="3"/>
        <item x="5"/>
        <item t="default"/>
      </items>
    </pivotField>
    <pivotField showAll="0">
      <items count="5">
        <item x="3"/>
        <item x="2"/>
        <item x="0"/>
        <item x="1"/>
        <item t="default"/>
      </items>
    </pivotField>
    <pivotField showAll="0"/>
    <pivotField showAll="0"/>
    <pivotField numFmtId="1" showAll="0"/>
    <pivotField dataField="1" numFmtId="167" showAll="0"/>
    <pivotField axis="axisRow" showAll="0">
      <items count="3">
        <item x="0"/>
        <item x="1"/>
        <item t="default"/>
      </items>
    </pivotField>
  </pivotFields>
  <rowFields count="1">
    <field x="7"/>
  </rowFields>
  <rowItems count="3">
    <i>
      <x/>
    </i>
    <i>
      <x v="1"/>
    </i>
    <i t="grand">
      <x/>
    </i>
  </rowItems>
  <colItems count="1">
    <i/>
  </colItems>
  <dataFields count="1">
    <dataField name="Sum of Sales" fld="6" baseField="0" baseItem="0" numFmtId="167"/>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B7DA34-106A-4CA7-A9E6-BCD801812D9E}"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18" firstHeaderRow="1" firstDataRow="1" firstDataCol="1"/>
  <pivotFields count="8">
    <pivotField showAll="0"/>
    <pivotField axis="axisRow" showAll="0">
      <items count="8">
        <item x="1"/>
        <item x="0"/>
        <item x="4"/>
        <item x="2"/>
        <item x="6"/>
        <item x="3"/>
        <item x="5"/>
        <item t="default"/>
      </items>
    </pivotField>
    <pivotField showAll="0">
      <items count="5">
        <item x="3"/>
        <item x="2"/>
        <item x="0"/>
        <item x="1"/>
        <item t="default"/>
      </items>
    </pivotField>
    <pivotField showAll="0"/>
    <pivotField showAll="0"/>
    <pivotField numFmtId="1" showAll="0"/>
    <pivotField dataField="1" numFmtId="167" showAll="0"/>
    <pivotField showAll="0">
      <items count="3">
        <item x="0"/>
        <item x="1"/>
        <item t="default"/>
      </items>
    </pivotField>
  </pivotFields>
  <rowFields count="1">
    <field x="1"/>
  </rowFields>
  <rowItems count="8">
    <i>
      <x/>
    </i>
    <i>
      <x v="1"/>
    </i>
    <i>
      <x v="2"/>
    </i>
    <i>
      <x v="3"/>
    </i>
    <i>
      <x v="4"/>
    </i>
    <i>
      <x v="5"/>
    </i>
    <i>
      <x v="6"/>
    </i>
    <i t="grand">
      <x/>
    </i>
  </rowItems>
  <colItems count="1">
    <i/>
  </colItems>
  <dataFields count="1">
    <dataField name="Sum of Sales" fld="6" baseField="0" baseItem="0" numFmtId="167"/>
  </dataField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230631-112E-4ED4-8A20-7DA353A38FD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8">
    <pivotField showAll="0"/>
    <pivotField showAll="0">
      <items count="8">
        <item x="1"/>
        <item x="0"/>
        <item x="4"/>
        <item x="2"/>
        <item x="6"/>
        <item x="3"/>
        <item x="5"/>
        <item t="default"/>
      </items>
    </pivotField>
    <pivotField axis="axisRow" showAll="0">
      <items count="5">
        <item x="3"/>
        <item x="2"/>
        <item x="0"/>
        <item x="1"/>
        <item t="default"/>
      </items>
    </pivotField>
    <pivotField showAll="0"/>
    <pivotField showAll="0"/>
    <pivotField numFmtId="1" showAll="0"/>
    <pivotField dataField="1" numFmtId="167" showAll="0"/>
    <pivotField showAll="0">
      <items count="3">
        <item x="0"/>
        <item x="1"/>
        <item t="default"/>
      </items>
    </pivotField>
  </pivotFields>
  <rowFields count="1">
    <field x="2"/>
  </rowFields>
  <rowItems count="5">
    <i>
      <x/>
    </i>
    <i>
      <x v="1"/>
    </i>
    <i>
      <x v="2"/>
    </i>
    <i>
      <x v="3"/>
    </i>
    <i t="grand">
      <x/>
    </i>
  </rowItems>
  <colItems count="1">
    <i/>
  </colItems>
  <dataFields count="1">
    <dataField name="Sum of Sales" fld="6" baseField="0" baseItem="0" numFmtId="167"/>
  </dataFields>
  <chartFormats count="3">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9DB637-D2F4-430B-A094-A55F82FBA269}" sourceName="Category">
  <pivotTables>
    <pivotTable tabId="4" name="PivotTable1"/>
    <pivotTable tabId="4" name="PivotTable2"/>
    <pivotTable tabId="4" name="PivotTable3"/>
    <pivotTable tabId="4" name="PivotTable4"/>
    <pivotTable tabId="4" name="PivotTable5"/>
  </pivotTables>
  <data>
    <tabular pivotCacheId="155699576">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A9337BE-290C-4AD5-8C7B-314DD540A47A}" sourceName="City">
  <pivotTables>
    <pivotTable tabId="4" name="PivotTable2"/>
    <pivotTable tabId="4" name="PivotTable1"/>
    <pivotTable tabId="4" name="PivotTable3"/>
    <pivotTable tabId="4" name="PivotTable4"/>
    <pivotTable tabId="4" name="PivotTable5"/>
  </pivotTables>
  <data>
    <tabular pivotCacheId="155699576">
      <items count="7">
        <i x="1" s="1"/>
        <i x="0" s="1"/>
        <i x="4" s="1"/>
        <i x="2" s="1"/>
        <i x="6"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CE7E6BB-C639-4719-95AB-3382B175B04D}" sourceName="Channel">
  <pivotTables>
    <pivotTable tabId="4" name="PivotTable4"/>
    <pivotTable tabId="4" name="PivotTable1"/>
    <pivotTable tabId="4" name="PivotTable2"/>
    <pivotTable tabId="4" name="PivotTable3"/>
    <pivotTable tabId="4" name="PivotTable5"/>
  </pivotTables>
  <data>
    <tabular pivotCacheId="15569957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3287DA4-5BF4-447F-B639-062203A085D8}" cache="Slicer_Category" caption="Category" rowHeight="234950"/>
  <slicer name="City" xr10:uid="{F38BE056-F31F-4119-9389-B0AC775842B9}" cache="Slicer_City" caption="City" rowHeight="234950"/>
  <slicer name="Channel" xr10:uid="{4828B1F1-4CE1-4CE5-8622-430D3644426D}" cache="Slicer_Channel" caption="Chann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EFCE454-1B75-4CFE-8135-6615A8FD9AF4}" cache="Slicer_Category" caption="Category" rowHeight="234950"/>
  <slicer name="City 1" xr10:uid="{67E197C3-12C5-4A50-99C9-0643E01061A2}" cache="Slicer_City" caption="City" rowHeight="234950"/>
  <slicer name="Channel 1" xr10:uid="{AACF67F9-019E-4870-8C31-3AD55A2EC416}" cache="Slicer_Channel" caption="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FE09B9-1339-4F67-9185-1CDA27028AA9}" name="SalesData" displayName="SalesData" ref="A1:H51" totalsRowShown="0" headerRowDxfId="3" headerRowBorderDxfId="11" tableBorderDxfId="10" totalsRowBorderDxfId="9">
  <tableColumns count="8">
    <tableColumn id="1" xr3:uid="{8CE49B98-BD6F-4A7A-866B-A38252D7C36B}" name="Date" dataDxfId="8"/>
    <tableColumn id="2" xr3:uid="{BD22AD9C-38E5-454B-877A-AEC4E66AD4B3}" name="City" dataDxfId="7"/>
    <tableColumn id="3" xr3:uid="{C2CC56EF-F570-4373-AF16-69E9958C32A5}" name="Category" dataDxfId="6"/>
    <tableColumn id="4" xr3:uid="{879F9760-6ABC-4BD0-95D3-6B0C2E730C6A}" name="Product" dataDxfId="5"/>
    <tableColumn id="5" xr3:uid="{4B98B154-094F-42B1-9B84-D52E6CDE654F}" name="Quantity" dataDxfId="4"/>
    <tableColumn id="6" xr3:uid="{DD7A3B8C-9CF3-468A-B630-3C8BFEC4C645}" name="Unit Price" dataDxfId="2"/>
    <tableColumn id="7" xr3:uid="{33E58629-5D2E-40FE-951D-A60C4DB2446B}" name="Sales" dataDxfId="0"/>
    <tableColumn id="8" xr3:uid="{C8ADAD8C-493C-4F12-BC9A-293EBD11E2C4}" name="Channel"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249977111117893"/>
  </sheetPr>
  <dimension ref="A1:O51"/>
  <sheetViews>
    <sheetView topLeftCell="A4" workbookViewId="0">
      <selection activeCell="K5" sqref="K5"/>
    </sheetView>
  </sheetViews>
  <sheetFormatPr defaultRowHeight="14.4" x14ac:dyDescent="0.3"/>
  <cols>
    <col min="1" max="1" width="14" customWidth="1"/>
    <col min="2" max="2" width="9.77734375" bestFit="1" customWidth="1"/>
    <col min="3" max="3" width="10.44140625" customWidth="1"/>
    <col min="4" max="4" width="11.109375" bestFit="1" customWidth="1"/>
    <col min="5" max="5" width="10.21875" customWidth="1"/>
    <col min="6" max="6" width="11" customWidth="1"/>
    <col min="7" max="7" width="12.109375" bestFit="1" customWidth="1"/>
    <col min="8" max="8" width="9.77734375" customWidth="1"/>
    <col min="11" max="11" width="17.33203125" bestFit="1" customWidth="1"/>
    <col min="13" max="13" width="15.88671875" bestFit="1" customWidth="1"/>
    <col min="15" max="15" width="13.6640625" bestFit="1" customWidth="1"/>
  </cols>
  <sheetData>
    <row r="1" spans="1:15" x14ac:dyDescent="0.3">
      <c r="A1" s="14" t="s">
        <v>0</v>
      </c>
      <c r="B1" s="15" t="s">
        <v>1</v>
      </c>
      <c r="C1" s="15" t="s">
        <v>2</v>
      </c>
      <c r="D1" s="15" t="s">
        <v>3</v>
      </c>
      <c r="E1" s="15" t="s">
        <v>4</v>
      </c>
      <c r="F1" s="16" t="s">
        <v>5</v>
      </c>
      <c r="G1" s="16" t="s">
        <v>6</v>
      </c>
      <c r="H1" s="17" t="s">
        <v>7</v>
      </c>
    </row>
    <row r="2" spans="1:15" x14ac:dyDescent="0.3">
      <c r="A2" s="4" t="s">
        <v>8</v>
      </c>
      <c r="B2" s="1" t="s">
        <v>9</v>
      </c>
      <c r="C2" s="1" t="s">
        <v>10</v>
      </c>
      <c r="D2" s="1" t="s">
        <v>11</v>
      </c>
      <c r="E2" s="1">
        <v>2</v>
      </c>
      <c r="F2" s="10">
        <v>55000</v>
      </c>
      <c r="G2" s="13">
        <v>110000</v>
      </c>
      <c r="H2" s="5" t="s">
        <v>12</v>
      </c>
    </row>
    <row r="3" spans="1:15" x14ac:dyDescent="0.3">
      <c r="A3" s="4" t="s">
        <v>13</v>
      </c>
      <c r="B3" s="1" t="s">
        <v>14</v>
      </c>
      <c r="C3" s="1" t="s">
        <v>15</v>
      </c>
      <c r="D3" s="1" t="s">
        <v>16</v>
      </c>
      <c r="E3" s="1">
        <v>5</v>
      </c>
      <c r="F3" s="10">
        <v>7500</v>
      </c>
      <c r="G3" s="13">
        <v>37500</v>
      </c>
      <c r="H3" s="5" t="s">
        <v>17</v>
      </c>
    </row>
    <row r="4" spans="1:15" x14ac:dyDescent="0.3">
      <c r="A4" s="4" t="s">
        <v>18</v>
      </c>
      <c r="B4" s="1" t="s">
        <v>19</v>
      </c>
      <c r="C4" s="1" t="s">
        <v>10</v>
      </c>
      <c r="D4" s="1" t="s">
        <v>20</v>
      </c>
      <c r="E4" s="1">
        <v>8</v>
      </c>
      <c r="F4" s="10">
        <v>2200</v>
      </c>
      <c r="G4" s="13">
        <v>17600</v>
      </c>
      <c r="H4" s="5" t="s">
        <v>12</v>
      </c>
      <c r="K4" s="12" t="s">
        <v>101</v>
      </c>
      <c r="M4" s="12" t="s">
        <v>113</v>
      </c>
      <c r="O4" s="12" t="s">
        <v>120</v>
      </c>
    </row>
    <row r="5" spans="1:15" x14ac:dyDescent="0.3">
      <c r="A5" s="4" t="s">
        <v>21</v>
      </c>
      <c r="B5" s="1" t="s">
        <v>9</v>
      </c>
      <c r="C5" s="1" t="s">
        <v>22</v>
      </c>
      <c r="D5" s="1" t="s">
        <v>23</v>
      </c>
      <c r="E5" s="1">
        <v>12</v>
      </c>
      <c r="F5" s="10">
        <v>1800</v>
      </c>
      <c r="G5" s="13">
        <v>21600</v>
      </c>
      <c r="H5" s="5" t="s">
        <v>17</v>
      </c>
      <c r="K5" s="13">
        <f xml:space="preserve"> SUM(SalesData[Sales])</f>
        <v>1603100</v>
      </c>
      <c r="M5" s="13">
        <f>SUMIF(SalesData[Category],"Electronics",SalesData[Sales])</f>
        <v>790000</v>
      </c>
      <c r="O5" s="13">
        <f>SUMIF(SalesData[City],"Delhi",SalesData[Sales])</f>
        <v>331550</v>
      </c>
    </row>
    <row r="6" spans="1:15" x14ac:dyDescent="0.3">
      <c r="A6" s="4" t="s">
        <v>24</v>
      </c>
      <c r="B6" s="1" t="s">
        <v>25</v>
      </c>
      <c r="C6" s="1" t="s">
        <v>26</v>
      </c>
      <c r="D6" s="1" t="s">
        <v>27</v>
      </c>
      <c r="E6" s="1">
        <v>20</v>
      </c>
      <c r="F6" s="10">
        <v>450</v>
      </c>
      <c r="G6" s="13">
        <v>9000</v>
      </c>
      <c r="H6" s="5" t="s">
        <v>12</v>
      </c>
    </row>
    <row r="7" spans="1:15" x14ac:dyDescent="0.3">
      <c r="A7" s="4" t="s">
        <v>28</v>
      </c>
      <c r="B7" s="1" t="s">
        <v>29</v>
      </c>
      <c r="C7" s="1" t="s">
        <v>10</v>
      </c>
      <c r="D7" s="1" t="s">
        <v>30</v>
      </c>
      <c r="E7" s="1">
        <v>4</v>
      </c>
      <c r="F7" s="10">
        <v>28000</v>
      </c>
      <c r="G7" s="13">
        <v>112000</v>
      </c>
      <c r="H7" s="5" t="s">
        <v>12</v>
      </c>
      <c r="K7" s="12" t="s">
        <v>105</v>
      </c>
      <c r="M7" s="12" t="s">
        <v>114</v>
      </c>
      <c r="O7" s="12" t="s">
        <v>121</v>
      </c>
    </row>
    <row r="8" spans="1:15" x14ac:dyDescent="0.3">
      <c r="A8" s="4" t="s">
        <v>31</v>
      </c>
      <c r="B8" s="1" t="s">
        <v>32</v>
      </c>
      <c r="C8" s="1" t="s">
        <v>15</v>
      </c>
      <c r="D8" s="1" t="s">
        <v>33</v>
      </c>
      <c r="E8" s="1">
        <v>3</v>
      </c>
      <c r="F8" s="10">
        <v>9000</v>
      </c>
      <c r="G8" s="13">
        <v>27000</v>
      </c>
      <c r="H8" s="5" t="s">
        <v>17</v>
      </c>
      <c r="K8" s="13">
        <f>AVERAGE(SalesData[Sales])</f>
        <v>32062</v>
      </c>
      <c r="M8" s="13">
        <f>SUMIF(SalesData[Category],"Furniture",SalesData[Sales])</f>
        <v>470400</v>
      </c>
      <c r="O8" s="13">
        <f>SUMIF(SalesData[City],"Pune",SalesData[Sales])</f>
        <v>293200</v>
      </c>
    </row>
    <row r="9" spans="1:15" x14ac:dyDescent="0.3">
      <c r="A9" s="4" t="s">
        <v>34</v>
      </c>
      <c r="B9" s="1" t="s">
        <v>35</v>
      </c>
      <c r="C9" s="1" t="s">
        <v>22</v>
      </c>
      <c r="D9" s="1" t="s">
        <v>36</v>
      </c>
      <c r="E9" s="1">
        <v>18</v>
      </c>
      <c r="F9" s="10">
        <v>850</v>
      </c>
      <c r="G9" s="13">
        <v>15300</v>
      </c>
      <c r="H9" s="5" t="s">
        <v>12</v>
      </c>
    </row>
    <row r="10" spans="1:15" x14ac:dyDescent="0.3">
      <c r="A10" s="4" t="s">
        <v>37</v>
      </c>
      <c r="B10" s="1" t="s">
        <v>9</v>
      </c>
      <c r="C10" s="1" t="s">
        <v>26</v>
      </c>
      <c r="D10" s="1" t="s">
        <v>38</v>
      </c>
      <c r="E10" s="1">
        <v>15</v>
      </c>
      <c r="F10" s="10">
        <v>520</v>
      </c>
      <c r="G10" s="13">
        <v>7800</v>
      </c>
      <c r="H10" s="5" t="s">
        <v>17</v>
      </c>
      <c r="K10" s="12" t="s">
        <v>106</v>
      </c>
      <c r="M10" s="12" t="s">
        <v>115</v>
      </c>
      <c r="O10" s="12" t="s">
        <v>122</v>
      </c>
    </row>
    <row r="11" spans="1:15" x14ac:dyDescent="0.3">
      <c r="A11" s="4" t="s">
        <v>39</v>
      </c>
      <c r="B11" s="1" t="s">
        <v>14</v>
      </c>
      <c r="C11" s="1" t="s">
        <v>10</v>
      </c>
      <c r="D11" s="1" t="s">
        <v>40</v>
      </c>
      <c r="E11" s="1">
        <v>10</v>
      </c>
      <c r="F11" s="10">
        <v>1600</v>
      </c>
      <c r="G11" s="13">
        <v>16000</v>
      </c>
      <c r="H11" s="5" t="s">
        <v>12</v>
      </c>
      <c r="K11" s="13">
        <f xml:space="preserve"> MAX(SalesData[Sales])</f>
        <v>112000</v>
      </c>
      <c r="M11" s="13">
        <f>SUMIF(SalesData[Category],"Clothing",SalesData[Sales])</f>
        <v>208950</v>
      </c>
      <c r="O11" s="13">
        <f>SUMIF(SalesData[City],"Kolkata",SalesData[Sales])</f>
        <v>15300</v>
      </c>
    </row>
    <row r="12" spans="1:15" x14ac:dyDescent="0.3">
      <c r="A12" s="4" t="s">
        <v>41</v>
      </c>
      <c r="B12" s="1" t="s">
        <v>19</v>
      </c>
      <c r="C12" s="1" t="s">
        <v>15</v>
      </c>
      <c r="D12" s="1" t="s">
        <v>42</v>
      </c>
      <c r="E12" s="1">
        <v>4</v>
      </c>
      <c r="F12" s="10">
        <v>6200</v>
      </c>
      <c r="G12" s="13">
        <v>24800</v>
      </c>
      <c r="H12" s="5" t="s">
        <v>17</v>
      </c>
    </row>
    <row r="13" spans="1:15" x14ac:dyDescent="0.3">
      <c r="A13" s="4" t="s">
        <v>43</v>
      </c>
      <c r="B13" s="1" t="s">
        <v>25</v>
      </c>
      <c r="C13" s="1" t="s">
        <v>22</v>
      </c>
      <c r="D13" s="1" t="s">
        <v>44</v>
      </c>
      <c r="E13" s="1">
        <v>10</v>
      </c>
      <c r="F13" s="10">
        <v>1450</v>
      </c>
      <c r="G13" s="13">
        <v>14500</v>
      </c>
      <c r="H13" s="5" t="s">
        <v>12</v>
      </c>
      <c r="K13" s="12" t="s">
        <v>107</v>
      </c>
      <c r="M13" s="12" t="s">
        <v>116</v>
      </c>
      <c r="O13" s="20" t="s">
        <v>124</v>
      </c>
    </row>
    <row r="14" spans="1:15" x14ac:dyDescent="0.3">
      <c r="A14" s="4" t="s">
        <v>45</v>
      </c>
      <c r="B14" s="1" t="s">
        <v>29</v>
      </c>
      <c r="C14" s="1" t="s">
        <v>26</v>
      </c>
      <c r="D14" s="1" t="s">
        <v>46</v>
      </c>
      <c r="E14" s="1">
        <v>7</v>
      </c>
      <c r="F14" s="10">
        <v>2100</v>
      </c>
      <c r="G14" s="13">
        <v>14700</v>
      </c>
      <c r="H14" s="5" t="s">
        <v>17</v>
      </c>
      <c r="K14" s="13">
        <f>MIN(SalesData[Sales])</f>
        <v>7800</v>
      </c>
      <c r="M14" s="13">
        <f>SUMIF(SalesData[Category],"Beauty",SalesData[Sales])</f>
        <v>133750</v>
      </c>
      <c r="O14" s="21">
        <v>1603100</v>
      </c>
    </row>
    <row r="15" spans="1:15" x14ac:dyDescent="0.3">
      <c r="A15" s="4" t="s">
        <v>47</v>
      </c>
      <c r="B15" s="1" t="s">
        <v>32</v>
      </c>
      <c r="C15" s="1" t="s">
        <v>10</v>
      </c>
      <c r="D15" s="1" t="s">
        <v>48</v>
      </c>
      <c r="E15" s="1">
        <v>5</v>
      </c>
      <c r="F15" s="10">
        <v>14500</v>
      </c>
      <c r="G15" s="13">
        <v>72500</v>
      </c>
      <c r="H15" s="5" t="s">
        <v>12</v>
      </c>
    </row>
    <row r="16" spans="1:15" x14ac:dyDescent="0.3">
      <c r="A16" s="4" t="s">
        <v>49</v>
      </c>
      <c r="B16" s="1" t="s">
        <v>9</v>
      </c>
      <c r="C16" s="1" t="s">
        <v>15</v>
      </c>
      <c r="D16" s="1" t="s">
        <v>50</v>
      </c>
      <c r="E16" s="1">
        <v>8</v>
      </c>
      <c r="F16" s="10">
        <v>3200</v>
      </c>
      <c r="G16" s="13">
        <v>25600</v>
      </c>
      <c r="H16" s="5" t="s">
        <v>17</v>
      </c>
      <c r="K16" s="12" t="s">
        <v>108</v>
      </c>
      <c r="M16" s="12" t="s">
        <v>117</v>
      </c>
    </row>
    <row r="17" spans="1:13" x14ac:dyDescent="0.3">
      <c r="A17" s="4" t="s">
        <v>51</v>
      </c>
      <c r="B17" s="1" t="s">
        <v>14</v>
      </c>
      <c r="C17" s="1" t="s">
        <v>22</v>
      </c>
      <c r="D17" s="1" t="s">
        <v>52</v>
      </c>
      <c r="E17" s="1">
        <v>14</v>
      </c>
      <c r="F17" s="10">
        <v>1200</v>
      </c>
      <c r="G17" s="13">
        <v>16800</v>
      </c>
      <c r="H17" s="5" t="s">
        <v>12</v>
      </c>
      <c r="K17" s="1">
        <f>SUM(SalesData[Quantity])</f>
        <v>478</v>
      </c>
      <c r="M17" s="13">
        <f>SUMIF(SalesData[City],"chennai",SalesData[Sales])</f>
        <v>305000</v>
      </c>
    </row>
    <row r="18" spans="1:13" x14ac:dyDescent="0.3">
      <c r="A18" s="4" t="s">
        <v>53</v>
      </c>
      <c r="B18" s="1" t="s">
        <v>19</v>
      </c>
      <c r="C18" s="1" t="s">
        <v>26</v>
      </c>
      <c r="D18" s="1" t="s">
        <v>54</v>
      </c>
      <c r="E18" s="1">
        <v>16</v>
      </c>
      <c r="F18" s="10">
        <v>680</v>
      </c>
      <c r="G18" s="13">
        <v>10880</v>
      </c>
      <c r="H18" s="5" t="s">
        <v>12</v>
      </c>
    </row>
    <row r="19" spans="1:13" x14ac:dyDescent="0.3">
      <c r="A19" s="4" t="s">
        <v>55</v>
      </c>
      <c r="B19" s="1" t="s">
        <v>25</v>
      </c>
      <c r="C19" s="1" t="s">
        <v>10</v>
      </c>
      <c r="D19" s="1" t="s">
        <v>56</v>
      </c>
      <c r="E19" s="1">
        <v>3</v>
      </c>
      <c r="F19" s="10">
        <v>22000</v>
      </c>
      <c r="G19" s="13">
        <v>66000</v>
      </c>
      <c r="H19" s="5" t="s">
        <v>17</v>
      </c>
      <c r="K19" s="12" t="s">
        <v>109</v>
      </c>
      <c r="M19" s="12" t="s">
        <v>123</v>
      </c>
    </row>
    <row r="20" spans="1:13" x14ac:dyDescent="0.3">
      <c r="A20" s="4" t="s">
        <v>57</v>
      </c>
      <c r="B20" s="1" t="s">
        <v>29</v>
      </c>
      <c r="C20" s="1" t="s">
        <v>15</v>
      </c>
      <c r="D20" s="1" t="s">
        <v>58</v>
      </c>
      <c r="E20" s="1">
        <v>2</v>
      </c>
      <c r="F20" s="10">
        <v>28000</v>
      </c>
      <c r="G20" s="13">
        <v>56000</v>
      </c>
      <c r="H20" s="5" t="s">
        <v>17</v>
      </c>
      <c r="K20" s="1">
        <f>COUNTA(SalesData[Product])</f>
        <v>50</v>
      </c>
      <c r="M20" s="13">
        <f>SUMIF(SalesData[City],"Bangalore",SalesData[Sales])</f>
        <v>266250</v>
      </c>
    </row>
    <row r="21" spans="1:13" x14ac:dyDescent="0.3">
      <c r="A21" s="4" t="s">
        <v>59</v>
      </c>
      <c r="B21" s="1" t="s">
        <v>32</v>
      </c>
      <c r="C21" s="1" t="s">
        <v>22</v>
      </c>
      <c r="D21" s="1" t="s">
        <v>60</v>
      </c>
      <c r="E21" s="1">
        <v>6</v>
      </c>
      <c r="F21" s="10">
        <v>3200</v>
      </c>
      <c r="G21" s="13">
        <v>19200</v>
      </c>
      <c r="H21" s="5" t="s">
        <v>12</v>
      </c>
    </row>
    <row r="22" spans="1:13" x14ac:dyDescent="0.3">
      <c r="A22" s="4" t="s">
        <v>61</v>
      </c>
      <c r="B22" s="1" t="s">
        <v>9</v>
      </c>
      <c r="C22" s="1" t="s">
        <v>10</v>
      </c>
      <c r="D22" s="1" t="s">
        <v>62</v>
      </c>
      <c r="E22" s="1">
        <v>20</v>
      </c>
      <c r="F22" s="10">
        <v>900</v>
      </c>
      <c r="G22" s="13">
        <v>18000</v>
      </c>
      <c r="H22" s="5" t="s">
        <v>12</v>
      </c>
      <c r="K22" s="12" t="s">
        <v>110</v>
      </c>
      <c r="M22" s="12" t="s">
        <v>118</v>
      </c>
    </row>
    <row r="23" spans="1:13" x14ac:dyDescent="0.3">
      <c r="A23" s="4" t="s">
        <v>63</v>
      </c>
      <c r="B23" s="1" t="s">
        <v>14</v>
      </c>
      <c r="C23" s="1" t="s">
        <v>26</v>
      </c>
      <c r="D23" s="1" t="s">
        <v>64</v>
      </c>
      <c r="E23" s="1">
        <v>25</v>
      </c>
      <c r="F23" s="10">
        <v>550</v>
      </c>
      <c r="G23" s="13">
        <v>13750</v>
      </c>
      <c r="H23" s="5" t="s">
        <v>17</v>
      </c>
      <c r="K23" s="1">
        <f>COUNTA(SalesData[Date])</f>
        <v>50</v>
      </c>
      <c r="M23" s="13">
        <f>SUMIF(SalesData[City],"Hyderabad",SalesData[Sales])</f>
        <v>211620</v>
      </c>
    </row>
    <row r="24" spans="1:13" x14ac:dyDescent="0.3">
      <c r="A24" s="4" t="s">
        <v>65</v>
      </c>
      <c r="B24" s="1" t="s">
        <v>19</v>
      </c>
      <c r="C24" s="1" t="s">
        <v>15</v>
      </c>
      <c r="D24" s="1" t="s">
        <v>66</v>
      </c>
      <c r="E24" s="1">
        <v>2</v>
      </c>
      <c r="F24" s="10">
        <v>24000</v>
      </c>
      <c r="G24" s="13">
        <v>48000</v>
      </c>
      <c r="H24" s="5" t="s">
        <v>12</v>
      </c>
    </row>
    <row r="25" spans="1:13" x14ac:dyDescent="0.3">
      <c r="A25" s="4" t="s">
        <v>67</v>
      </c>
      <c r="B25" s="1" t="s">
        <v>25</v>
      </c>
      <c r="C25" s="1" t="s">
        <v>22</v>
      </c>
      <c r="D25" s="1" t="s">
        <v>68</v>
      </c>
      <c r="E25" s="1">
        <v>5</v>
      </c>
      <c r="F25" s="10">
        <v>2800</v>
      </c>
      <c r="G25" s="13">
        <v>14000</v>
      </c>
      <c r="H25" s="5" t="s">
        <v>17</v>
      </c>
      <c r="K25" s="12" t="s">
        <v>111</v>
      </c>
      <c r="M25" s="12" t="s">
        <v>119</v>
      </c>
    </row>
    <row r="26" spans="1:13" x14ac:dyDescent="0.3">
      <c r="A26" s="4" t="s">
        <v>69</v>
      </c>
      <c r="B26" s="1" t="s">
        <v>29</v>
      </c>
      <c r="C26" s="1" t="s">
        <v>10</v>
      </c>
      <c r="D26" s="1" t="s">
        <v>70</v>
      </c>
      <c r="E26" s="1">
        <v>4</v>
      </c>
      <c r="F26" s="10">
        <v>12500</v>
      </c>
      <c r="G26" s="13">
        <v>50000</v>
      </c>
      <c r="H26" s="5" t="s">
        <v>12</v>
      </c>
      <c r="K26" s="13">
        <f>SUMIF(SalesData[Channel],"online",SalesData[Sales])</f>
        <v>1003460</v>
      </c>
      <c r="M26" s="13">
        <f>SUMIF(SalesData[City],"Mumbai",SalesData[Sales])</f>
        <v>180180</v>
      </c>
    </row>
    <row r="27" spans="1:13" x14ac:dyDescent="0.3">
      <c r="A27" s="4" t="s">
        <v>71</v>
      </c>
      <c r="B27" s="1" t="s">
        <v>32</v>
      </c>
      <c r="C27" s="1" t="s">
        <v>26</v>
      </c>
      <c r="D27" s="1" t="s">
        <v>72</v>
      </c>
      <c r="E27" s="1">
        <v>18</v>
      </c>
      <c r="F27" s="10">
        <v>750</v>
      </c>
      <c r="G27" s="13">
        <v>13500</v>
      </c>
      <c r="H27" s="5" t="s">
        <v>17</v>
      </c>
    </row>
    <row r="28" spans="1:13" x14ac:dyDescent="0.3">
      <c r="A28" s="4" t="s">
        <v>73</v>
      </c>
      <c r="B28" s="1" t="s">
        <v>9</v>
      </c>
      <c r="C28" s="1" t="s">
        <v>15</v>
      </c>
      <c r="D28" s="1" t="s">
        <v>42</v>
      </c>
      <c r="E28" s="1">
        <v>5</v>
      </c>
      <c r="F28" s="10">
        <v>6200</v>
      </c>
      <c r="G28" s="13">
        <v>31000</v>
      </c>
      <c r="H28" s="5" t="s">
        <v>12</v>
      </c>
      <c r="K28" s="12" t="s">
        <v>112</v>
      </c>
    </row>
    <row r="29" spans="1:13" x14ac:dyDescent="0.3">
      <c r="A29" s="4" t="s">
        <v>74</v>
      </c>
      <c r="B29" s="1" t="s">
        <v>14</v>
      </c>
      <c r="C29" s="1" t="s">
        <v>22</v>
      </c>
      <c r="D29" s="1" t="s">
        <v>23</v>
      </c>
      <c r="E29" s="1">
        <v>9</v>
      </c>
      <c r="F29" s="10">
        <v>1800</v>
      </c>
      <c r="G29" s="13">
        <v>16200</v>
      </c>
      <c r="H29" s="5" t="s">
        <v>17</v>
      </c>
      <c r="K29" s="13">
        <f>SUMIF(SalesData[Channel],"store",SalesData[Sales])</f>
        <v>599640</v>
      </c>
    </row>
    <row r="30" spans="1:13" x14ac:dyDescent="0.3">
      <c r="A30" s="4" t="s">
        <v>75</v>
      </c>
      <c r="B30" s="1" t="s">
        <v>19</v>
      </c>
      <c r="C30" s="1" t="s">
        <v>10</v>
      </c>
      <c r="D30" s="1" t="s">
        <v>76</v>
      </c>
      <c r="E30" s="1">
        <v>6</v>
      </c>
      <c r="F30" s="10">
        <v>6500</v>
      </c>
      <c r="G30" s="13">
        <v>39000</v>
      </c>
      <c r="H30" s="5" t="s">
        <v>12</v>
      </c>
    </row>
    <row r="31" spans="1:13" x14ac:dyDescent="0.3">
      <c r="A31" s="4" t="s">
        <v>77</v>
      </c>
      <c r="B31" s="1" t="s">
        <v>25</v>
      </c>
      <c r="C31" s="1" t="s">
        <v>26</v>
      </c>
      <c r="D31" s="1" t="s">
        <v>78</v>
      </c>
      <c r="E31" s="1">
        <v>14</v>
      </c>
      <c r="F31" s="10">
        <v>820</v>
      </c>
      <c r="G31" s="13">
        <v>11480</v>
      </c>
      <c r="H31" s="5" t="s">
        <v>12</v>
      </c>
    </row>
    <row r="32" spans="1:13" x14ac:dyDescent="0.3">
      <c r="A32" s="4" t="s">
        <v>79</v>
      </c>
      <c r="B32" s="1" t="s">
        <v>29</v>
      </c>
      <c r="C32" s="1" t="s">
        <v>15</v>
      </c>
      <c r="D32" s="1" t="s">
        <v>16</v>
      </c>
      <c r="E32" s="1">
        <v>7</v>
      </c>
      <c r="F32" s="10">
        <v>7500</v>
      </c>
      <c r="G32" s="13">
        <v>52500</v>
      </c>
      <c r="H32" s="5" t="s">
        <v>17</v>
      </c>
    </row>
    <row r="33" spans="1:8" x14ac:dyDescent="0.3">
      <c r="A33" s="4" t="s">
        <v>80</v>
      </c>
      <c r="B33" s="1" t="s">
        <v>32</v>
      </c>
      <c r="C33" s="1" t="s">
        <v>22</v>
      </c>
      <c r="D33" s="1" t="s">
        <v>36</v>
      </c>
      <c r="E33" s="1">
        <v>20</v>
      </c>
      <c r="F33" s="10">
        <v>850</v>
      </c>
      <c r="G33" s="13">
        <v>17000</v>
      </c>
      <c r="H33" s="5" t="s">
        <v>12</v>
      </c>
    </row>
    <row r="34" spans="1:8" x14ac:dyDescent="0.3">
      <c r="A34" s="4" t="s">
        <v>81</v>
      </c>
      <c r="B34" s="1" t="s">
        <v>9</v>
      </c>
      <c r="C34" s="1" t="s">
        <v>10</v>
      </c>
      <c r="D34" s="1" t="s">
        <v>11</v>
      </c>
      <c r="E34" s="1">
        <v>1</v>
      </c>
      <c r="F34" s="10">
        <v>55000</v>
      </c>
      <c r="G34" s="13">
        <v>55000</v>
      </c>
      <c r="H34" s="5" t="s">
        <v>17</v>
      </c>
    </row>
    <row r="35" spans="1:8" x14ac:dyDescent="0.3">
      <c r="A35" s="4" t="s">
        <v>82</v>
      </c>
      <c r="B35" s="1" t="s">
        <v>14</v>
      </c>
      <c r="C35" s="1" t="s">
        <v>15</v>
      </c>
      <c r="D35" s="1" t="s">
        <v>33</v>
      </c>
      <c r="E35" s="1">
        <v>4</v>
      </c>
      <c r="F35" s="10">
        <v>9000</v>
      </c>
      <c r="G35" s="13">
        <v>36000</v>
      </c>
      <c r="H35" s="5" t="s">
        <v>12</v>
      </c>
    </row>
    <row r="36" spans="1:8" x14ac:dyDescent="0.3">
      <c r="A36" s="4" t="s">
        <v>83</v>
      </c>
      <c r="B36" s="1" t="s">
        <v>19</v>
      </c>
      <c r="C36" s="1" t="s">
        <v>26</v>
      </c>
      <c r="D36" s="1" t="s">
        <v>38</v>
      </c>
      <c r="E36" s="1">
        <v>22</v>
      </c>
      <c r="F36" s="10">
        <v>520</v>
      </c>
      <c r="G36" s="13">
        <v>11440</v>
      </c>
      <c r="H36" s="5" t="s">
        <v>17</v>
      </c>
    </row>
    <row r="37" spans="1:8" x14ac:dyDescent="0.3">
      <c r="A37" s="4" t="s">
        <v>84</v>
      </c>
      <c r="B37" s="1" t="s">
        <v>25</v>
      </c>
      <c r="C37" s="1" t="s">
        <v>10</v>
      </c>
      <c r="D37" s="1" t="s">
        <v>20</v>
      </c>
      <c r="E37" s="1">
        <v>12</v>
      </c>
      <c r="F37" s="10">
        <v>2200</v>
      </c>
      <c r="G37" s="13">
        <v>26400</v>
      </c>
      <c r="H37" s="5" t="s">
        <v>12</v>
      </c>
    </row>
    <row r="38" spans="1:8" x14ac:dyDescent="0.3">
      <c r="A38" s="4" t="s">
        <v>85</v>
      </c>
      <c r="B38" s="1" t="s">
        <v>29</v>
      </c>
      <c r="C38" s="1" t="s">
        <v>22</v>
      </c>
      <c r="D38" s="1" t="s">
        <v>44</v>
      </c>
      <c r="E38" s="1">
        <v>11</v>
      </c>
      <c r="F38" s="10">
        <v>1450</v>
      </c>
      <c r="G38" s="13">
        <v>15950</v>
      </c>
      <c r="H38" s="5" t="s">
        <v>17</v>
      </c>
    </row>
    <row r="39" spans="1:8" x14ac:dyDescent="0.3">
      <c r="A39" s="4" t="s">
        <v>86</v>
      </c>
      <c r="B39" s="1" t="s">
        <v>32</v>
      </c>
      <c r="C39" s="1" t="s">
        <v>15</v>
      </c>
      <c r="D39" s="1" t="s">
        <v>50</v>
      </c>
      <c r="E39" s="1">
        <v>10</v>
      </c>
      <c r="F39" s="10">
        <v>3200</v>
      </c>
      <c r="G39" s="13">
        <v>32000</v>
      </c>
      <c r="H39" s="5" t="s">
        <v>12</v>
      </c>
    </row>
    <row r="40" spans="1:8" x14ac:dyDescent="0.3">
      <c r="A40" s="4" t="s">
        <v>87</v>
      </c>
      <c r="B40" s="1" t="s">
        <v>9</v>
      </c>
      <c r="C40" s="1" t="s">
        <v>26</v>
      </c>
      <c r="D40" s="1" t="s">
        <v>46</v>
      </c>
      <c r="E40" s="1">
        <v>8</v>
      </c>
      <c r="F40" s="10">
        <v>2100</v>
      </c>
      <c r="G40" s="13">
        <v>16800</v>
      </c>
      <c r="H40" s="5" t="s">
        <v>17</v>
      </c>
    </row>
    <row r="41" spans="1:8" x14ac:dyDescent="0.3">
      <c r="A41" s="4" t="s">
        <v>88</v>
      </c>
      <c r="B41" s="1" t="s">
        <v>14</v>
      </c>
      <c r="C41" s="1" t="s">
        <v>10</v>
      </c>
      <c r="D41" s="1" t="s">
        <v>48</v>
      </c>
      <c r="E41" s="1">
        <v>4</v>
      </c>
      <c r="F41" s="10">
        <v>14500</v>
      </c>
      <c r="G41" s="13">
        <v>58000</v>
      </c>
      <c r="H41" s="5" t="s">
        <v>12</v>
      </c>
    </row>
    <row r="42" spans="1:8" x14ac:dyDescent="0.3">
      <c r="A42" s="4" t="s">
        <v>89</v>
      </c>
      <c r="B42" s="1" t="s">
        <v>19</v>
      </c>
      <c r="C42" s="1" t="s">
        <v>22</v>
      </c>
      <c r="D42" s="1" t="s">
        <v>60</v>
      </c>
      <c r="E42" s="1">
        <v>7</v>
      </c>
      <c r="F42" s="10">
        <v>3200</v>
      </c>
      <c r="G42" s="13">
        <v>22400</v>
      </c>
      <c r="H42" s="5" t="s">
        <v>17</v>
      </c>
    </row>
    <row r="43" spans="1:8" x14ac:dyDescent="0.3">
      <c r="A43" s="4" t="s">
        <v>90</v>
      </c>
      <c r="B43" s="1" t="s">
        <v>25</v>
      </c>
      <c r="C43" s="1" t="s">
        <v>15</v>
      </c>
      <c r="D43" s="1" t="s">
        <v>58</v>
      </c>
      <c r="E43" s="1">
        <v>1</v>
      </c>
      <c r="F43" s="10">
        <v>28000</v>
      </c>
      <c r="G43" s="13">
        <v>28000</v>
      </c>
      <c r="H43" s="5" t="s">
        <v>12</v>
      </c>
    </row>
    <row r="44" spans="1:8" x14ac:dyDescent="0.3">
      <c r="A44" s="4" t="s">
        <v>91</v>
      </c>
      <c r="B44" s="1" t="s">
        <v>29</v>
      </c>
      <c r="C44" s="1" t="s">
        <v>26</v>
      </c>
      <c r="D44" s="1" t="s">
        <v>54</v>
      </c>
      <c r="E44" s="1">
        <v>20</v>
      </c>
      <c r="F44" s="10">
        <v>680</v>
      </c>
      <c r="G44" s="13">
        <v>13600</v>
      </c>
      <c r="H44" s="5" t="s">
        <v>17</v>
      </c>
    </row>
    <row r="45" spans="1:8" x14ac:dyDescent="0.3">
      <c r="A45" s="4" t="s">
        <v>92</v>
      </c>
      <c r="B45" s="1" t="s">
        <v>32</v>
      </c>
      <c r="C45" s="1" t="s">
        <v>10</v>
      </c>
      <c r="D45" s="1" t="s">
        <v>56</v>
      </c>
      <c r="E45" s="1">
        <v>4</v>
      </c>
      <c r="F45" s="10">
        <v>22000</v>
      </c>
      <c r="G45" s="13">
        <v>88000</v>
      </c>
      <c r="H45" s="5" t="s">
        <v>12</v>
      </c>
    </row>
    <row r="46" spans="1:8" x14ac:dyDescent="0.3">
      <c r="A46" s="4" t="s">
        <v>93</v>
      </c>
      <c r="B46" s="1" t="s">
        <v>9</v>
      </c>
      <c r="C46" s="1" t="s">
        <v>22</v>
      </c>
      <c r="D46" s="1" t="s">
        <v>52</v>
      </c>
      <c r="E46" s="1">
        <v>16</v>
      </c>
      <c r="F46" s="10">
        <v>1200</v>
      </c>
      <c r="G46" s="13">
        <v>19200</v>
      </c>
      <c r="H46" s="5" t="s">
        <v>17</v>
      </c>
    </row>
    <row r="47" spans="1:8" x14ac:dyDescent="0.3">
      <c r="A47" s="4" t="s">
        <v>94</v>
      </c>
      <c r="B47" s="1" t="s">
        <v>14</v>
      </c>
      <c r="C47" s="1" t="s">
        <v>15</v>
      </c>
      <c r="D47" s="1" t="s">
        <v>66</v>
      </c>
      <c r="E47" s="1">
        <v>3</v>
      </c>
      <c r="F47" s="10">
        <v>24000</v>
      </c>
      <c r="G47" s="13">
        <v>72000</v>
      </c>
      <c r="H47" s="5" t="s">
        <v>12</v>
      </c>
    </row>
    <row r="48" spans="1:8" x14ac:dyDescent="0.3">
      <c r="A48" s="4" t="s">
        <v>95</v>
      </c>
      <c r="B48" s="1" t="s">
        <v>19</v>
      </c>
      <c r="C48" s="1" t="s">
        <v>10</v>
      </c>
      <c r="D48" s="1" t="s">
        <v>70</v>
      </c>
      <c r="E48" s="1">
        <v>3</v>
      </c>
      <c r="F48" s="10">
        <v>12500</v>
      </c>
      <c r="G48" s="13">
        <v>37500</v>
      </c>
      <c r="H48" s="5" t="s">
        <v>17</v>
      </c>
    </row>
    <row r="49" spans="1:8" x14ac:dyDescent="0.3">
      <c r="A49" s="4" t="s">
        <v>96</v>
      </c>
      <c r="B49" s="1" t="s">
        <v>25</v>
      </c>
      <c r="C49" s="1" t="s">
        <v>26</v>
      </c>
      <c r="D49" s="1" t="s">
        <v>27</v>
      </c>
      <c r="E49" s="1">
        <v>24</v>
      </c>
      <c r="F49" s="10">
        <v>450</v>
      </c>
      <c r="G49" s="13">
        <v>10800</v>
      </c>
      <c r="H49" s="5" t="s">
        <v>12</v>
      </c>
    </row>
    <row r="50" spans="1:8" x14ac:dyDescent="0.3">
      <c r="A50" s="4" t="s">
        <v>97</v>
      </c>
      <c r="B50" s="1" t="s">
        <v>29</v>
      </c>
      <c r="C50" s="1" t="s">
        <v>22</v>
      </c>
      <c r="D50" s="1" t="s">
        <v>68</v>
      </c>
      <c r="E50" s="1">
        <v>6</v>
      </c>
      <c r="F50" s="10">
        <v>2800</v>
      </c>
      <c r="G50" s="13">
        <v>16800</v>
      </c>
      <c r="H50" s="5" t="s">
        <v>17</v>
      </c>
    </row>
    <row r="51" spans="1:8" x14ac:dyDescent="0.3">
      <c r="A51" s="6" t="s">
        <v>98</v>
      </c>
      <c r="B51" s="7" t="s">
        <v>32</v>
      </c>
      <c r="C51" s="7" t="s">
        <v>10</v>
      </c>
      <c r="D51" s="7" t="s">
        <v>40</v>
      </c>
      <c r="E51" s="7">
        <v>15</v>
      </c>
      <c r="F51" s="11">
        <v>1600</v>
      </c>
      <c r="G51" s="18">
        <v>24000</v>
      </c>
      <c r="H51" s="8" t="s">
        <v>12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2536B-107D-4A89-A354-D303ED9C5F28}">
  <sheetPr>
    <tabColor theme="4" tint="-0.249977111117893"/>
  </sheetPr>
  <dimension ref="A3:B77"/>
  <sheetViews>
    <sheetView workbookViewId="0">
      <selection activeCell="A22" sqref="A22"/>
    </sheetView>
  </sheetViews>
  <sheetFormatPr defaultRowHeight="14.4" x14ac:dyDescent="0.3"/>
  <cols>
    <col min="1" max="1" width="11.109375" bestFit="1" customWidth="1"/>
    <col min="2" max="2" width="11.6640625" bestFit="1" customWidth="1"/>
  </cols>
  <sheetData>
    <row r="3" spans="1:2" x14ac:dyDescent="0.3">
      <c r="A3" s="22" t="s">
        <v>125</v>
      </c>
      <c r="B3" t="s">
        <v>127</v>
      </c>
    </row>
    <row r="4" spans="1:2" x14ac:dyDescent="0.3">
      <c r="A4" s="23" t="s">
        <v>26</v>
      </c>
      <c r="B4" s="19">
        <v>133750</v>
      </c>
    </row>
    <row r="5" spans="1:2" x14ac:dyDescent="0.3">
      <c r="A5" s="23" t="s">
        <v>22</v>
      </c>
      <c r="B5" s="19">
        <v>208950</v>
      </c>
    </row>
    <row r="6" spans="1:2" x14ac:dyDescent="0.3">
      <c r="A6" s="23" t="s">
        <v>10</v>
      </c>
      <c r="B6" s="19">
        <v>790000</v>
      </c>
    </row>
    <row r="7" spans="1:2" x14ac:dyDescent="0.3">
      <c r="A7" s="23" t="s">
        <v>15</v>
      </c>
      <c r="B7" s="19">
        <v>470400</v>
      </c>
    </row>
    <row r="8" spans="1:2" x14ac:dyDescent="0.3">
      <c r="A8" s="23" t="s">
        <v>126</v>
      </c>
      <c r="B8" s="19">
        <v>1603100</v>
      </c>
    </row>
    <row r="10" spans="1:2" x14ac:dyDescent="0.3">
      <c r="A10" s="22" t="s">
        <v>125</v>
      </c>
      <c r="B10" t="s">
        <v>127</v>
      </c>
    </row>
    <row r="11" spans="1:2" x14ac:dyDescent="0.3">
      <c r="A11" s="23" t="s">
        <v>14</v>
      </c>
      <c r="B11" s="19">
        <v>266250</v>
      </c>
    </row>
    <row r="12" spans="1:2" x14ac:dyDescent="0.3">
      <c r="A12" s="23" t="s">
        <v>9</v>
      </c>
      <c r="B12" s="19">
        <v>305000</v>
      </c>
    </row>
    <row r="13" spans="1:2" x14ac:dyDescent="0.3">
      <c r="A13" s="23" t="s">
        <v>29</v>
      </c>
      <c r="B13" s="19">
        <v>331550</v>
      </c>
    </row>
    <row r="14" spans="1:2" x14ac:dyDescent="0.3">
      <c r="A14" s="23" t="s">
        <v>19</v>
      </c>
      <c r="B14" s="19">
        <v>211620</v>
      </c>
    </row>
    <row r="15" spans="1:2" x14ac:dyDescent="0.3">
      <c r="A15" s="23" t="s">
        <v>35</v>
      </c>
      <c r="B15" s="19">
        <v>15300</v>
      </c>
    </row>
    <row r="16" spans="1:2" x14ac:dyDescent="0.3">
      <c r="A16" s="23" t="s">
        <v>25</v>
      </c>
      <c r="B16" s="19">
        <v>180180</v>
      </c>
    </row>
    <row r="17" spans="1:2" x14ac:dyDescent="0.3">
      <c r="A17" s="23" t="s">
        <v>32</v>
      </c>
      <c r="B17" s="19">
        <v>293200</v>
      </c>
    </row>
    <row r="18" spans="1:2" x14ac:dyDescent="0.3">
      <c r="A18" s="23" t="s">
        <v>126</v>
      </c>
      <c r="B18" s="19">
        <v>1603100</v>
      </c>
    </row>
    <row r="20" spans="1:2" x14ac:dyDescent="0.3">
      <c r="B20" t="s">
        <v>127</v>
      </c>
    </row>
    <row r="21" spans="1:2" x14ac:dyDescent="0.3">
      <c r="A21" s="23" t="s">
        <v>14</v>
      </c>
      <c r="B21" s="19">
        <v>266250</v>
      </c>
    </row>
    <row r="22" spans="1:2" x14ac:dyDescent="0.3">
      <c r="A22" s="24" t="s">
        <v>12</v>
      </c>
      <c r="B22" s="19">
        <v>198800</v>
      </c>
    </row>
    <row r="23" spans="1:2" x14ac:dyDescent="0.3">
      <c r="A23" s="24" t="s">
        <v>17</v>
      </c>
      <c r="B23" s="19">
        <v>67450</v>
      </c>
    </row>
    <row r="24" spans="1:2" x14ac:dyDescent="0.3">
      <c r="A24" s="23" t="s">
        <v>9</v>
      </c>
      <c r="B24" s="19">
        <v>305000</v>
      </c>
    </row>
    <row r="25" spans="1:2" x14ac:dyDescent="0.3">
      <c r="A25" s="24" t="s">
        <v>12</v>
      </c>
      <c r="B25" s="19">
        <v>159000</v>
      </c>
    </row>
    <row r="26" spans="1:2" x14ac:dyDescent="0.3">
      <c r="A26" s="24" t="s">
        <v>17</v>
      </c>
      <c r="B26" s="19">
        <v>146000</v>
      </c>
    </row>
    <row r="27" spans="1:2" x14ac:dyDescent="0.3">
      <c r="A27" s="23" t="s">
        <v>29</v>
      </c>
      <c r="B27" s="19">
        <v>331550</v>
      </c>
    </row>
    <row r="28" spans="1:2" x14ac:dyDescent="0.3">
      <c r="A28" s="24" t="s">
        <v>12</v>
      </c>
      <c r="B28" s="19">
        <v>162000</v>
      </c>
    </row>
    <row r="29" spans="1:2" x14ac:dyDescent="0.3">
      <c r="A29" s="24" t="s">
        <v>17</v>
      </c>
      <c r="B29" s="19">
        <v>169550</v>
      </c>
    </row>
    <row r="30" spans="1:2" x14ac:dyDescent="0.3">
      <c r="A30" s="23" t="s">
        <v>19</v>
      </c>
      <c r="B30" s="19">
        <v>211620</v>
      </c>
    </row>
    <row r="31" spans="1:2" x14ac:dyDescent="0.3">
      <c r="A31" s="24" t="s">
        <v>12</v>
      </c>
      <c r="B31" s="19">
        <v>115480</v>
      </c>
    </row>
    <row r="32" spans="1:2" x14ac:dyDescent="0.3">
      <c r="A32" s="24" t="s">
        <v>17</v>
      </c>
      <c r="B32" s="19">
        <v>96140</v>
      </c>
    </row>
    <row r="33" spans="1:2" x14ac:dyDescent="0.3">
      <c r="A33" s="23" t="s">
        <v>35</v>
      </c>
      <c r="B33" s="19">
        <v>15300</v>
      </c>
    </row>
    <row r="34" spans="1:2" x14ac:dyDescent="0.3">
      <c r="A34" s="24" t="s">
        <v>12</v>
      </c>
      <c r="B34" s="19">
        <v>15300</v>
      </c>
    </row>
    <row r="35" spans="1:2" x14ac:dyDescent="0.3">
      <c r="A35" s="23" t="s">
        <v>25</v>
      </c>
      <c r="B35" s="19">
        <v>180180</v>
      </c>
    </row>
    <row r="36" spans="1:2" x14ac:dyDescent="0.3">
      <c r="A36" s="24" t="s">
        <v>12</v>
      </c>
      <c r="B36" s="19">
        <v>100180</v>
      </c>
    </row>
    <row r="37" spans="1:2" x14ac:dyDescent="0.3">
      <c r="A37" s="24" t="s">
        <v>17</v>
      </c>
      <c r="B37" s="19">
        <v>80000</v>
      </c>
    </row>
    <row r="38" spans="1:2" x14ac:dyDescent="0.3">
      <c r="A38" s="23" t="s">
        <v>32</v>
      </c>
      <c r="B38" s="19">
        <v>293200</v>
      </c>
    </row>
    <row r="39" spans="1:2" x14ac:dyDescent="0.3">
      <c r="A39" s="24" t="s">
        <v>12</v>
      </c>
      <c r="B39" s="19">
        <v>252700</v>
      </c>
    </row>
    <row r="40" spans="1:2" x14ac:dyDescent="0.3">
      <c r="A40" s="24" t="s">
        <v>17</v>
      </c>
      <c r="B40" s="19">
        <v>40500</v>
      </c>
    </row>
    <row r="41" spans="1:2" x14ac:dyDescent="0.3">
      <c r="A41" s="23" t="s">
        <v>126</v>
      </c>
      <c r="B41" s="19">
        <v>1603100</v>
      </c>
    </row>
    <row r="43" spans="1:2" x14ac:dyDescent="0.3">
      <c r="A43" s="22" t="s">
        <v>125</v>
      </c>
      <c r="B43" t="s">
        <v>127</v>
      </c>
    </row>
    <row r="44" spans="1:2" x14ac:dyDescent="0.3">
      <c r="A44" s="23" t="s">
        <v>12</v>
      </c>
      <c r="B44" s="19">
        <v>1003460</v>
      </c>
    </row>
    <row r="45" spans="1:2" x14ac:dyDescent="0.3">
      <c r="A45" s="23" t="s">
        <v>17</v>
      </c>
      <c r="B45" s="19">
        <v>599640</v>
      </c>
    </row>
    <row r="46" spans="1:2" x14ac:dyDescent="0.3">
      <c r="A46" s="23" t="s">
        <v>126</v>
      </c>
      <c r="B46" s="19">
        <v>1603100</v>
      </c>
    </row>
    <row r="48" spans="1:2" x14ac:dyDescent="0.3">
      <c r="B48" t="s">
        <v>127</v>
      </c>
    </row>
    <row r="49" spans="1:2" x14ac:dyDescent="0.3">
      <c r="A49" s="23" t="s">
        <v>42</v>
      </c>
      <c r="B49" s="19">
        <v>55800</v>
      </c>
    </row>
    <row r="50" spans="1:2" x14ac:dyDescent="0.3">
      <c r="A50" s="23" t="s">
        <v>50</v>
      </c>
      <c r="B50" s="19">
        <v>57600</v>
      </c>
    </row>
    <row r="51" spans="1:2" x14ac:dyDescent="0.3">
      <c r="A51" s="23" t="s">
        <v>72</v>
      </c>
      <c r="B51" s="19">
        <v>13500</v>
      </c>
    </row>
    <row r="52" spans="1:2" x14ac:dyDescent="0.3">
      <c r="A52" s="23" t="s">
        <v>27</v>
      </c>
      <c r="B52" s="19">
        <v>19800</v>
      </c>
    </row>
    <row r="53" spans="1:2" x14ac:dyDescent="0.3">
      <c r="A53" s="23" t="s">
        <v>20</v>
      </c>
      <c r="B53" s="19">
        <v>44000</v>
      </c>
    </row>
    <row r="54" spans="1:2" x14ac:dyDescent="0.3">
      <c r="A54" s="23" t="s">
        <v>68</v>
      </c>
      <c r="B54" s="19">
        <v>30800</v>
      </c>
    </row>
    <row r="55" spans="1:2" x14ac:dyDescent="0.3">
      <c r="A55" s="23" t="s">
        <v>23</v>
      </c>
      <c r="B55" s="19">
        <v>37800</v>
      </c>
    </row>
    <row r="56" spans="1:2" x14ac:dyDescent="0.3">
      <c r="A56" s="23" t="s">
        <v>40</v>
      </c>
      <c r="B56" s="19">
        <v>40000</v>
      </c>
    </row>
    <row r="57" spans="1:2" x14ac:dyDescent="0.3">
      <c r="A57" s="23" t="s">
        <v>44</v>
      </c>
      <c r="B57" s="19">
        <v>30450</v>
      </c>
    </row>
    <row r="58" spans="1:2" x14ac:dyDescent="0.3">
      <c r="A58" s="23" t="s">
        <v>11</v>
      </c>
      <c r="B58" s="19">
        <v>165000</v>
      </c>
    </row>
    <row r="59" spans="1:2" x14ac:dyDescent="0.3">
      <c r="A59" s="23" t="s">
        <v>64</v>
      </c>
      <c r="B59" s="19">
        <v>13750</v>
      </c>
    </row>
    <row r="60" spans="1:2" x14ac:dyDescent="0.3">
      <c r="A60" s="23" t="s">
        <v>54</v>
      </c>
      <c r="B60" s="19">
        <v>24480</v>
      </c>
    </row>
    <row r="61" spans="1:2" x14ac:dyDescent="0.3">
      <c r="A61" s="23" t="s">
        <v>48</v>
      </c>
      <c r="B61" s="19">
        <v>130500</v>
      </c>
    </row>
    <row r="62" spans="1:2" x14ac:dyDescent="0.3">
      <c r="A62" s="23" t="s">
        <v>62</v>
      </c>
      <c r="B62" s="19">
        <v>18000</v>
      </c>
    </row>
    <row r="63" spans="1:2" x14ac:dyDescent="0.3">
      <c r="A63" s="23" t="s">
        <v>16</v>
      </c>
      <c r="B63" s="19">
        <v>90000</v>
      </c>
    </row>
    <row r="64" spans="1:2" x14ac:dyDescent="0.3">
      <c r="A64" s="23" t="s">
        <v>46</v>
      </c>
      <c r="B64" s="19">
        <v>31500</v>
      </c>
    </row>
    <row r="65" spans="1:2" x14ac:dyDescent="0.3">
      <c r="A65" s="23" t="s">
        <v>70</v>
      </c>
      <c r="B65" s="19">
        <v>87500</v>
      </c>
    </row>
    <row r="66" spans="1:2" x14ac:dyDescent="0.3">
      <c r="A66" s="23" t="s">
        <v>60</v>
      </c>
      <c r="B66" s="19">
        <v>41600</v>
      </c>
    </row>
    <row r="67" spans="1:2" x14ac:dyDescent="0.3">
      <c r="A67" s="23" t="s">
        <v>38</v>
      </c>
      <c r="B67" s="19">
        <v>19240</v>
      </c>
    </row>
    <row r="68" spans="1:2" x14ac:dyDescent="0.3">
      <c r="A68" s="23" t="s">
        <v>52</v>
      </c>
      <c r="B68" s="19">
        <v>36000</v>
      </c>
    </row>
    <row r="69" spans="1:2" x14ac:dyDescent="0.3">
      <c r="A69" s="23" t="s">
        <v>30</v>
      </c>
      <c r="B69" s="19">
        <v>112000</v>
      </c>
    </row>
    <row r="70" spans="1:2" x14ac:dyDescent="0.3">
      <c r="A70" s="23" t="s">
        <v>76</v>
      </c>
      <c r="B70" s="19">
        <v>39000</v>
      </c>
    </row>
    <row r="71" spans="1:2" x14ac:dyDescent="0.3">
      <c r="A71" s="23" t="s">
        <v>58</v>
      </c>
      <c r="B71" s="19">
        <v>84000</v>
      </c>
    </row>
    <row r="72" spans="1:2" x14ac:dyDescent="0.3">
      <c r="A72" s="23" t="s">
        <v>33</v>
      </c>
      <c r="B72" s="19">
        <v>63000</v>
      </c>
    </row>
    <row r="73" spans="1:2" x14ac:dyDescent="0.3">
      <c r="A73" s="23" t="s">
        <v>78</v>
      </c>
      <c r="B73" s="19">
        <v>11480</v>
      </c>
    </row>
    <row r="74" spans="1:2" x14ac:dyDescent="0.3">
      <c r="A74" s="23" t="s">
        <v>56</v>
      </c>
      <c r="B74" s="19">
        <v>154000</v>
      </c>
    </row>
    <row r="75" spans="1:2" x14ac:dyDescent="0.3">
      <c r="A75" s="23" t="s">
        <v>36</v>
      </c>
      <c r="B75" s="19">
        <v>32300</v>
      </c>
    </row>
    <row r="76" spans="1:2" x14ac:dyDescent="0.3">
      <c r="A76" s="23" t="s">
        <v>66</v>
      </c>
      <c r="B76" s="19">
        <v>120000</v>
      </c>
    </row>
    <row r="77" spans="1:2" x14ac:dyDescent="0.3">
      <c r="A77" s="23" t="s">
        <v>126</v>
      </c>
      <c r="B77" s="19">
        <v>1603100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10F54-2761-4BE1-866E-57D0FD53EDB4}">
  <sheetPr>
    <tabColor theme="4" tint="-0.499984740745262"/>
  </sheetPr>
  <dimension ref="A1"/>
  <sheetViews>
    <sheetView showGridLines="0" topLeftCell="A13" workbookViewId="0">
      <selection activeCell="P4" sqref="P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ADEFC-5607-4DEF-BCC0-9749363F8CEE}">
  <sheetPr>
    <tabColor theme="2" tint="-0.749992370372631"/>
  </sheetPr>
  <dimension ref="A1:B6"/>
  <sheetViews>
    <sheetView workbookViewId="0">
      <selection activeCell="F16" sqref="F16"/>
    </sheetView>
  </sheetViews>
  <sheetFormatPr defaultRowHeight="14.4" x14ac:dyDescent="0.3"/>
  <cols>
    <col min="1" max="1" width="17.88671875" bestFit="1" customWidth="1"/>
  </cols>
  <sheetData>
    <row r="1" spans="1:2" x14ac:dyDescent="0.3">
      <c r="A1" s="2" t="s">
        <v>99</v>
      </c>
      <c r="B1" s="2" t="s">
        <v>100</v>
      </c>
    </row>
    <row r="2" spans="1:2" x14ac:dyDescent="0.3">
      <c r="A2" s="3" t="s">
        <v>101</v>
      </c>
      <c r="B2" s="3">
        <v>1603100</v>
      </c>
    </row>
    <row r="3" spans="1:2" x14ac:dyDescent="0.3">
      <c r="A3" s="3" t="s">
        <v>102</v>
      </c>
      <c r="B3" s="3">
        <v>478</v>
      </c>
    </row>
    <row r="4" spans="1:2" x14ac:dyDescent="0.3">
      <c r="A4" s="3" t="s">
        <v>103</v>
      </c>
      <c r="B4" s="3">
        <v>50</v>
      </c>
    </row>
    <row r="5" spans="1:2" x14ac:dyDescent="0.3">
      <c r="A5" s="3" t="s">
        <v>104</v>
      </c>
      <c r="B5" s="3">
        <v>32062</v>
      </c>
    </row>
    <row r="6" spans="1:2" x14ac:dyDescent="0.3">
      <c r="A6" s="9"/>
      <c r="B6"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6D83-03C0-4DA2-81CC-C7443F535B4F}">
  <sheetPr>
    <tabColor theme="5" tint="0.39997558519241921"/>
  </sheetPr>
  <dimension ref="C6"/>
  <sheetViews>
    <sheetView showGridLines="0" tabSelected="1" workbookViewId="0">
      <selection activeCell="Y22" sqref="Y22"/>
    </sheetView>
  </sheetViews>
  <sheetFormatPr defaultRowHeight="14.4" x14ac:dyDescent="0.3"/>
  <sheetData>
    <row r="6" spans="3:3" x14ac:dyDescent="0.3">
      <c r="C6"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Pivot Table</vt:lpstr>
      <vt:lpstr>Charts &amp; Slicers</vt:lpstr>
      <vt:lpstr>KPI_Summary</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Rajeswari Arunachalam</cp:lastModifiedBy>
  <dcterms:created xsi:type="dcterms:W3CDTF">2026-08-11T19:40:06Z</dcterms:created>
  <dcterms:modified xsi:type="dcterms:W3CDTF">2026-08-14T18:26:51Z</dcterms:modified>
</cp:coreProperties>
</file>